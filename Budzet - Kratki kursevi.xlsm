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filterPrivacy="1" showInkAnnotation="0" codeName="ThisWorkbook" defaultThemeVersion="124226"/>
  <xr:revisionPtr revIDLastSave="0" documentId="13_ncr:1_{D6649085-1568-49B2-B986-ACB4CF0B4294}" xr6:coauthVersionLast="47" xr6:coauthVersionMax="47" xr10:uidLastSave="{00000000-0000-0000-0000-000000000000}"/>
  <workbookProtection lockStructure="1"/>
  <bookViews>
    <workbookView xWindow="-108" yWindow="-108" windowWidth="23256" windowHeight="1317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_xlnm.Print_Area" localSheetId="3">' 2-3-6. Travel&amp;Costs of Stay'!$A$1:$S$28</definedName>
    <definedName name="_xlnm.Print_Area" localSheetId="2">'1. Staff costs'!$A$1:$U$47</definedName>
    <definedName name="_xlnm.Print_Area" localSheetId="4">'4. Equipment Costs'!$A$1:$J$19</definedName>
    <definedName name="_xlnm.Print_Area" localSheetId="5">'5. Subcontracting Costs'!$A$1:$J$15</definedName>
    <definedName name="_xlnm.Print_Area" localSheetId="7">'Breakdown &amp; Project Funding'!$A$1:$J$78</definedName>
    <definedName name="_xlnm.Print_Area" localSheetId="6">'Co-financing'!$A$1:$K$26</definedName>
    <definedName name="_xlnm.Print_Area" localSheetId="0">Overview!$A$1:$M$82</definedName>
    <definedName name="_xlnm.Print_Area" localSheetId="1">'Sheet Validation'!$A$1:$B$7</definedName>
    <definedName name="_xlnm.Print_Area" localSheetId="8">'Unit Costs &amp; Funding Rule'!$B$1:$U$188</definedName>
    <definedName name="PartnerN°">Overview!$B$27:$B$81</definedName>
    <definedName name="PartnerN°Ref">Overview!$B$27:$E$81</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Stay'!$28:$1048576,' 2-3-6. Travel&amp;Costs of Stay'!#REF!</definedName>
    <definedName name="Z_D7932BCF_3472_4742_BE90_75070A4D3346_.wvu.Rows" localSheetId="2" hidden="1">'1. Staff costs'!$47:$1048576,'1. Staff costs'!#REF!</definedName>
    <definedName name="Z_D7932BCF_3472_4742_BE90_75070A4D3346_.wvu.Rows" localSheetId="4" hidden="1">'4. Equipment Costs'!$19:$1048576,'4.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'Co-financing'!$22:$1048576,'Co-financing'!#REF!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N27" i="39" l="1"/>
  <c r="E27" i="39"/>
  <c r="D27" i="39"/>
  <c r="R27" i="39" s="1"/>
  <c r="N26" i="39"/>
  <c r="E26" i="39"/>
  <c r="D26" i="39"/>
  <c r="R26" i="39" s="1"/>
  <c r="N18" i="39"/>
  <c r="E18" i="39"/>
  <c r="D18" i="39"/>
  <c r="N17" i="39"/>
  <c r="E17" i="39"/>
  <c r="D17" i="39"/>
  <c r="E18" i="26"/>
  <c r="D18" i="26"/>
  <c r="I18" i="26" s="1"/>
  <c r="H18" i="26" s="1"/>
  <c r="E17" i="26"/>
  <c r="D17" i="26"/>
  <c r="I17" i="26" s="1"/>
  <c r="H17" i="26" s="1"/>
  <c r="N19" i="39"/>
  <c r="E19" i="39"/>
  <c r="D19" i="39"/>
  <c r="N16" i="39"/>
  <c r="E16" i="39"/>
  <c r="D16" i="39"/>
  <c r="N15" i="39"/>
  <c r="E15" i="39"/>
  <c r="D15" i="39"/>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T34" i="40" s="1"/>
  <c r="E33" i="40"/>
  <c r="D33" i="40"/>
  <c r="T33" i="40" s="1"/>
  <c r="E32" i="40"/>
  <c r="D32" i="40"/>
  <c r="T32" i="40" s="1"/>
  <c r="E31" i="40"/>
  <c r="D31" i="40"/>
  <c r="T31" i="40" s="1"/>
  <c r="E30" i="40"/>
  <c r="D30" i="40"/>
  <c r="T30" i="40" s="1"/>
  <c r="E29" i="40"/>
  <c r="D29" i="40"/>
  <c r="T29" i="40" s="1"/>
  <c r="E46" i="40"/>
  <c r="D46" i="40"/>
  <c r="T46" i="40" s="1"/>
  <c r="E28" i="40"/>
  <c r="D28" i="40"/>
  <c r="T28" i="40" s="1"/>
  <c r="E27" i="40"/>
  <c r="D27" i="40"/>
  <c r="E26" i="40"/>
  <c r="D26" i="40"/>
  <c r="T26" i="40" s="1"/>
  <c r="E25" i="40"/>
  <c r="D25" i="40"/>
  <c r="E24" i="40"/>
  <c r="D24" i="40"/>
  <c r="T24" i="40" s="1"/>
  <c r="E23" i="40"/>
  <c r="D23" i="40"/>
  <c r="E22" i="40"/>
  <c r="D22" i="40"/>
  <c r="T22" i="40" s="1"/>
  <c r="E21" i="40"/>
  <c r="D21" i="40"/>
  <c r="E20" i="40"/>
  <c r="D20" i="40"/>
  <c r="E19" i="40"/>
  <c r="D19" i="40"/>
  <c r="E18" i="40"/>
  <c r="D18" i="40"/>
  <c r="E17" i="40"/>
  <c r="D17" i="40"/>
  <c r="T17" i="40" s="1"/>
  <c r="D21" i="71"/>
  <c r="C21" i="71"/>
  <c r="J21" i="71" s="1"/>
  <c r="I21" i="71" s="1"/>
  <c r="D20" i="71"/>
  <c r="C20" i="71"/>
  <c r="D19" i="71"/>
  <c r="C19" i="71"/>
  <c r="J19" i="71" s="1"/>
  <c r="I19" i="71" s="1"/>
  <c r="D18" i="71"/>
  <c r="C18" i="71"/>
  <c r="D17" i="71"/>
  <c r="C17" i="71"/>
  <c r="J17" i="71" s="1"/>
  <c r="I17" i="71" s="1"/>
  <c r="D16" i="71"/>
  <c r="C16" i="71"/>
  <c r="D15" i="71"/>
  <c r="C15" i="71"/>
  <c r="J15" i="71" s="1"/>
  <c r="I15" i="71" s="1"/>
  <c r="E15" i="26"/>
  <c r="D15" i="26"/>
  <c r="E16" i="26"/>
  <c r="D16" i="26"/>
  <c r="N25" i="39"/>
  <c r="E25" i="39"/>
  <c r="D25" i="39"/>
  <c r="N24" i="39"/>
  <c r="E24" i="39"/>
  <c r="D24" i="39"/>
  <c r="N23" i="39"/>
  <c r="E23" i="39"/>
  <c r="D23" i="39"/>
  <c r="N22" i="39"/>
  <c r="E22" i="39"/>
  <c r="D22" i="39"/>
  <c r="N21" i="39"/>
  <c r="E21" i="39"/>
  <c r="D21" i="39"/>
  <c r="N20" i="39"/>
  <c r="E20" i="39"/>
  <c r="D20" i="39"/>
  <c r="D16" i="40"/>
  <c r="D15" i="40"/>
  <c r="O27" i="39" l="1"/>
  <c r="P27" i="39"/>
  <c r="R18" i="39"/>
  <c r="P18" i="39" s="1"/>
  <c r="O26" i="39"/>
  <c r="Q26" i="39" s="1"/>
  <c r="P26" i="39"/>
  <c r="R19" i="39"/>
  <c r="P19" i="39" s="1"/>
  <c r="R17" i="39"/>
  <c r="P17" i="39" s="1"/>
  <c r="I15" i="26"/>
  <c r="H15" i="26" s="1"/>
  <c r="R16" i="39"/>
  <c r="P16" i="39" s="1"/>
  <c r="R24" i="39"/>
  <c r="P24" i="39" s="1"/>
  <c r="R15" i="39"/>
  <c r="O15" i="39" s="1"/>
  <c r="P45" i="40"/>
  <c r="J45" i="40"/>
  <c r="K45" i="40"/>
  <c r="R45" i="40"/>
  <c r="M45" i="40"/>
  <c r="N45" i="40" s="1"/>
  <c r="G45" i="40"/>
  <c r="H45" i="40" s="1"/>
  <c r="Q45" i="40"/>
  <c r="P44" i="40"/>
  <c r="Q44" i="40" s="1"/>
  <c r="J44" i="40"/>
  <c r="K44" i="40" s="1"/>
  <c r="R44" i="40"/>
  <c r="M44" i="40"/>
  <c r="N44" i="40" s="1"/>
  <c r="G44" i="40"/>
  <c r="H44" i="40" s="1"/>
  <c r="P43" i="40"/>
  <c r="Q43" i="40" s="1"/>
  <c r="J43" i="40"/>
  <c r="K43" i="40" s="1"/>
  <c r="R43" i="40"/>
  <c r="M43" i="40"/>
  <c r="N43" i="40" s="1"/>
  <c r="G43" i="40"/>
  <c r="H43" i="40" s="1"/>
  <c r="P42" i="40"/>
  <c r="Q42" i="40" s="1"/>
  <c r="J42" i="40"/>
  <c r="K42" i="40" s="1"/>
  <c r="R42" i="40"/>
  <c r="M42" i="40"/>
  <c r="N42" i="40" s="1"/>
  <c r="G42" i="40"/>
  <c r="H42" i="40" s="1"/>
  <c r="P41" i="40"/>
  <c r="Q41" i="40" s="1"/>
  <c r="J41" i="40"/>
  <c r="K41" i="40" s="1"/>
  <c r="R41" i="40"/>
  <c r="M41" i="40"/>
  <c r="N41" i="40" s="1"/>
  <c r="G41" i="40"/>
  <c r="H41" i="40" s="1"/>
  <c r="P40" i="40"/>
  <c r="Q40" i="40" s="1"/>
  <c r="J40" i="40"/>
  <c r="K40" i="40" s="1"/>
  <c r="R40" i="40"/>
  <c r="M40" i="40"/>
  <c r="N40" i="40" s="1"/>
  <c r="G40" i="40"/>
  <c r="H40" i="40" s="1"/>
  <c r="R39" i="40"/>
  <c r="M39" i="40"/>
  <c r="N39" i="40" s="1"/>
  <c r="G39" i="40"/>
  <c r="H39" i="40" s="1"/>
  <c r="P39" i="40"/>
  <c r="Q39" i="40" s="1"/>
  <c r="J39" i="40"/>
  <c r="K39" i="40" s="1"/>
  <c r="R38" i="40"/>
  <c r="R37" i="40"/>
  <c r="R36" i="40"/>
  <c r="R35" i="40"/>
  <c r="R34" i="40"/>
  <c r="R33" i="40"/>
  <c r="R32" i="40"/>
  <c r="R31" i="40"/>
  <c r="R30" i="40"/>
  <c r="R29" i="40"/>
  <c r="P46" i="40"/>
  <c r="J46" i="40"/>
  <c r="K46" i="40" s="1"/>
  <c r="R46" i="40"/>
  <c r="M46" i="40"/>
  <c r="N46" i="40" s="1"/>
  <c r="G46" i="40"/>
  <c r="H46" i="40" s="1"/>
  <c r="Q46" i="40"/>
  <c r="R28" i="40"/>
  <c r="T19" i="40"/>
  <c r="R19" i="40" s="1"/>
  <c r="T21" i="40"/>
  <c r="T23" i="40"/>
  <c r="T25" i="40"/>
  <c r="T27" i="40"/>
  <c r="R26" i="40"/>
  <c r="R24" i="40"/>
  <c r="R22" i="40"/>
  <c r="T18" i="40"/>
  <c r="R18" i="40" s="1"/>
  <c r="T20" i="40"/>
  <c r="R17" i="40"/>
  <c r="I16" i="26"/>
  <c r="H16" i="26" s="1"/>
  <c r="J16" i="71"/>
  <c r="I16" i="71" s="1"/>
  <c r="J18" i="71"/>
  <c r="I18" i="71" s="1"/>
  <c r="J20" i="71"/>
  <c r="I20" i="71" s="1"/>
  <c r="R25" i="39"/>
  <c r="P25" i="39" s="1"/>
  <c r="R23" i="39"/>
  <c r="P23" i="39" s="1"/>
  <c r="R22" i="39"/>
  <c r="O22" i="39" s="1"/>
  <c r="R21" i="39"/>
  <c r="P21" i="39" s="1"/>
  <c r="R20" i="39"/>
  <c r="P20" i="39" s="1"/>
  <c r="O19" i="39" l="1"/>
  <c r="Q19" i="39" s="1"/>
  <c r="Q27" i="39"/>
  <c r="O18" i="39"/>
  <c r="Q18" i="39" s="1"/>
  <c r="O17" i="39"/>
  <c r="Q17" i="39" s="1"/>
  <c r="O24" i="39"/>
  <c r="Q24" i="39" s="1"/>
  <c r="O16" i="39"/>
  <c r="Q16" i="39" s="1"/>
  <c r="P15" i="39"/>
  <c r="Q15" i="39" s="1"/>
  <c r="S45" i="40"/>
  <c r="S41" i="40"/>
  <c r="S46" i="40"/>
  <c r="S44" i="40"/>
  <c r="S43" i="40"/>
  <c r="S42" i="40"/>
  <c r="S40" i="40"/>
  <c r="S39" i="40"/>
  <c r="R23" i="40"/>
  <c r="R21" i="40"/>
  <c r="R25" i="40"/>
  <c r="R27" i="40"/>
  <c r="R20" i="40"/>
  <c r="O23" i="39"/>
  <c r="Q23" i="39" s="1"/>
  <c r="O25" i="39"/>
  <c r="Q25" i="39" s="1"/>
  <c r="P22" i="39"/>
  <c r="Q22" i="39" s="1"/>
  <c r="O21" i="39"/>
  <c r="Q21" i="39" s="1"/>
  <c r="O20" i="39"/>
  <c r="Q20" i="39" s="1"/>
  <c r="N13" i="39" l="1"/>
  <c r="N14" i="39"/>
  <c r="L39" i="41" l="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M37" i="40" l="1"/>
  <c r="N37" i="40" s="1"/>
  <c r="M34" i="40"/>
  <c r="N34" i="40" s="1"/>
  <c r="M30" i="40"/>
  <c r="N30" i="40" s="1"/>
  <c r="M29" i="40"/>
  <c r="N29" i="40" s="1"/>
  <c r="M35" i="40"/>
  <c r="N35" i="40" s="1"/>
  <c r="M32" i="40"/>
  <c r="N32" i="40" s="1"/>
  <c r="M31" i="40"/>
  <c r="N31" i="40" s="1"/>
  <c r="M38" i="40"/>
  <c r="N38" i="40" s="1"/>
  <c r="M36" i="40"/>
  <c r="N36" i="40" s="1"/>
  <c r="M33" i="40"/>
  <c r="N33" i="40" s="1"/>
  <c r="M28" i="40"/>
  <c r="N28" i="40" s="1"/>
  <c r="G36" i="40"/>
  <c r="H36" i="40" s="1"/>
  <c r="G33" i="40"/>
  <c r="H33" i="40" s="1"/>
  <c r="G29" i="40"/>
  <c r="H29" i="40" s="1"/>
  <c r="G28" i="40"/>
  <c r="H28" i="40" s="1"/>
  <c r="G30" i="40"/>
  <c r="H30" i="40" s="1"/>
  <c r="G37" i="40"/>
  <c r="H37" i="40" s="1"/>
  <c r="G34" i="40"/>
  <c r="H34" i="40" s="1"/>
  <c r="G35" i="40"/>
  <c r="H35" i="40" s="1"/>
  <c r="G32" i="40"/>
  <c r="H32" i="40" s="1"/>
  <c r="G31" i="40"/>
  <c r="H31" i="40" s="1"/>
  <c r="G38" i="40"/>
  <c r="H38" i="40" s="1"/>
  <c r="J36" i="40"/>
  <c r="K36" i="40" s="1"/>
  <c r="J33" i="40"/>
  <c r="K33" i="40" s="1"/>
  <c r="J29" i="40"/>
  <c r="K29" i="40" s="1"/>
  <c r="J28" i="40"/>
  <c r="K28" i="40" s="1"/>
  <c r="J35" i="40"/>
  <c r="K35" i="40" s="1"/>
  <c r="J32" i="40"/>
  <c r="K32" i="40" s="1"/>
  <c r="J37" i="40"/>
  <c r="K37" i="40" s="1"/>
  <c r="J34" i="40"/>
  <c r="K34" i="40" s="1"/>
  <c r="J30" i="40"/>
  <c r="K30" i="40" s="1"/>
  <c r="J38" i="40"/>
  <c r="K38" i="40" s="1"/>
  <c r="J31" i="40"/>
  <c r="K31" i="40" s="1"/>
  <c r="P37" i="40"/>
  <c r="Q37" i="40" s="1"/>
  <c r="P34" i="40"/>
  <c r="Q34" i="40" s="1"/>
  <c r="P30" i="40"/>
  <c r="Q30" i="40" s="1"/>
  <c r="P28" i="40"/>
  <c r="Q28" i="40" s="1"/>
  <c r="P33" i="40"/>
  <c r="Q33" i="40" s="1"/>
  <c r="P29" i="40"/>
  <c r="Q29" i="40" s="1"/>
  <c r="P38" i="40"/>
  <c r="Q38" i="40" s="1"/>
  <c r="P35" i="40"/>
  <c r="Q35" i="40" s="1"/>
  <c r="P32" i="40"/>
  <c r="Q32" i="40" s="1"/>
  <c r="P31" i="40"/>
  <c r="Q31" i="40" s="1"/>
  <c r="P36" i="40"/>
  <c r="Q36" i="40" s="1"/>
  <c r="G19" i="40"/>
  <c r="H19" i="40" s="1"/>
  <c r="G22" i="40"/>
  <c r="H22" i="40" s="1"/>
  <c r="G24" i="40"/>
  <c r="H24" i="40" s="1"/>
  <c r="G26" i="40"/>
  <c r="H26" i="40" s="1"/>
  <c r="G27" i="40"/>
  <c r="H27" i="40" s="1"/>
  <c r="G23" i="40"/>
  <c r="H23" i="40" s="1"/>
  <c r="G21" i="40"/>
  <c r="H21" i="40" s="1"/>
  <c r="G25" i="40"/>
  <c r="H25" i="40" s="1"/>
  <c r="G20" i="40"/>
  <c r="H20" i="40" s="1"/>
  <c r="J19" i="40"/>
  <c r="K19" i="40" s="1"/>
  <c r="J24" i="40"/>
  <c r="K24" i="40" s="1"/>
  <c r="J22" i="40"/>
  <c r="K22" i="40" s="1"/>
  <c r="J26" i="40"/>
  <c r="K26" i="40" s="1"/>
  <c r="J27" i="40"/>
  <c r="K27" i="40" s="1"/>
  <c r="J21" i="40"/>
  <c r="K21" i="40" s="1"/>
  <c r="J20" i="40"/>
  <c r="K20" i="40" s="1"/>
  <c r="J23" i="40"/>
  <c r="K23" i="40" s="1"/>
  <c r="J25" i="40"/>
  <c r="K25" i="40" s="1"/>
  <c r="M19" i="40"/>
  <c r="N19" i="40" s="1"/>
  <c r="M26" i="40"/>
  <c r="N26" i="40" s="1"/>
  <c r="M22" i="40"/>
  <c r="N22" i="40" s="1"/>
  <c r="M24" i="40"/>
  <c r="N24" i="40" s="1"/>
  <c r="M21" i="40"/>
  <c r="N21" i="40" s="1"/>
  <c r="M23" i="40"/>
  <c r="N23" i="40" s="1"/>
  <c r="M27" i="40"/>
  <c r="N27" i="40" s="1"/>
  <c r="M25" i="40"/>
  <c r="N25" i="40" s="1"/>
  <c r="M20" i="40"/>
  <c r="N20" i="40" s="1"/>
  <c r="P19" i="40"/>
  <c r="Q19" i="40" s="1"/>
  <c r="P26" i="40"/>
  <c r="Q26" i="40" s="1"/>
  <c r="P24" i="40"/>
  <c r="Q24" i="40" s="1"/>
  <c r="P22" i="40"/>
  <c r="Q22" i="40" s="1"/>
  <c r="P21" i="40"/>
  <c r="Q21" i="40" s="1"/>
  <c r="P25" i="40"/>
  <c r="Q25" i="40" s="1"/>
  <c r="P27" i="40"/>
  <c r="Q27" i="40" s="1"/>
  <c r="P20" i="40"/>
  <c r="Q20" i="40" s="1"/>
  <c r="P23" i="40"/>
  <c r="Q23" i="40" s="1"/>
  <c r="G17" i="40"/>
  <c r="H17" i="40" s="1"/>
  <c r="G18" i="40"/>
  <c r="H18" i="40" s="1"/>
  <c r="J17" i="40"/>
  <c r="K17" i="40" s="1"/>
  <c r="J18" i="40"/>
  <c r="K18" i="40" s="1"/>
  <c r="M17" i="40"/>
  <c r="N17" i="40" s="1"/>
  <c r="M18" i="40"/>
  <c r="N18" i="40" s="1"/>
  <c r="P17" i="40"/>
  <c r="Q17" i="40" s="1"/>
  <c r="P18" i="40"/>
  <c r="Q18"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15" i="40" s="1"/>
  <c r="T15" i="40" s="1"/>
  <c r="E32" i="41"/>
  <c r="E33" i="41"/>
  <c r="E34" i="41"/>
  <c r="E16" i="40" s="1"/>
  <c r="T16" i="40" s="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E13" i="41"/>
  <c r="F7" i="55"/>
  <c r="S19" i="40" l="1"/>
  <c r="S35" i="40"/>
  <c r="S28" i="40"/>
  <c r="S38" i="40"/>
  <c r="S34" i="40"/>
  <c r="S29" i="40"/>
  <c r="S32" i="40"/>
  <c r="S30" i="40"/>
  <c r="S36" i="40"/>
  <c r="S31" i="40"/>
  <c r="S37" i="40"/>
  <c r="S33" i="40"/>
  <c r="S25" i="40"/>
  <c r="S26" i="40"/>
  <c r="S21" i="40"/>
  <c r="S24" i="40"/>
  <c r="S23" i="40"/>
  <c r="S22" i="40"/>
  <c r="S20" i="40"/>
  <c r="S27" i="40"/>
  <c r="S17" i="40"/>
  <c r="S18" i="40"/>
  <c r="P15" i="40"/>
  <c r="Q15" i="40" s="1"/>
  <c r="R15" i="40"/>
  <c r="J15" i="40"/>
  <c r="K15" i="40" s="1"/>
  <c r="M15" i="40"/>
  <c r="N15" i="40" s="1"/>
  <c r="G15" i="40"/>
  <c r="H15" i="40" s="1"/>
  <c r="R16" i="40"/>
  <c r="P16" i="40"/>
  <c r="Q16" i="40" s="1"/>
  <c r="G16" i="40"/>
  <c r="H16" i="40" s="1"/>
  <c r="J16" i="40"/>
  <c r="K16" i="40" s="1"/>
  <c r="M16" i="40"/>
  <c r="N16" i="40" s="1"/>
  <c r="R13" i="39"/>
  <c r="P13" i="39" s="1"/>
  <c r="T14" i="40"/>
  <c r="M14" i="40" s="1"/>
  <c r="N14" i="40" s="1"/>
  <c r="H16" i="55"/>
  <c r="J13" i="71"/>
  <c r="I13" i="71" s="1"/>
  <c r="I13" i="26"/>
  <c r="I13" i="70"/>
  <c r="F8" i="55"/>
  <c r="I14" i="26"/>
  <c r="H14" i="26" s="1"/>
  <c r="F9" i="55" s="1"/>
  <c r="I14" i="70"/>
  <c r="H14" i="70" s="1"/>
  <c r="J14" i="71"/>
  <c r="T13" i="40"/>
  <c r="G5" i="55" l="1"/>
  <c r="G8" i="55"/>
  <c r="F33" i="41"/>
  <c r="S16" i="40"/>
  <c r="F34" i="41" s="1"/>
  <c r="F32" i="41"/>
  <c r="S15" i="40"/>
  <c r="F31" i="41" s="1"/>
  <c r="F30" i="41"/>
  <c r="I17" i="41"/>
  <c r="J14" i="40"/>
  <c r="K14" i="40" s="1"/>
  <c r="R14" i="40"/>
  <c r="P14" i="40"/>
  <c r="Q14" i="40" s="1"/>
  <c r="G14" i="40"/>
  <c r="H14" i="40" s="1"/>
  <c r="O13" i="39"/>
  <c r="Q13" i="39" s="1"/>
  <c r="I20" i="41"/>
  <c r="I21" i="41"/>
  <c r="I23" i="41"/>
  <c r="I14" i="71"/>
  <c r="C4" i="71" s="1"/>
  <c r="F40" i="41"/>
  <c r="F36" i="41"/>
  <c r="F39" i="41"/>
  <c r="F37" i="41"/>
  <c r="F35" i="41"/>
  <c r="F38" i="41"/>
  <c r="H13" i="26"/>
  <c r="C4" i="26" s="1"/>
  <c r="B4" i="74"/>
  <c r="B6" i="74"/>
  <c r="H13" i="70"/>
  <c r="C4" i="70" s="1"/>
  <c r="J48" i="41" s="1"/>
  <c r="B5" i="74"/>
  <c r="B2" i="74"/>
  <c r="F5" i="55"/>
  <c r="F6" i="55"/>
  <c r="E7" i="40"/>
  <c r="R13" i="40"/>
  <c r="E6" i="40"/>
  <c r="N13" i="40"/>
  <c r="D7" i="40" s="1"/>
  <c r="H13" i="40"/>
  <c r="M13" i="40"/>
  <c r="G13" i="40"/>
  <c r="E5" i="40"/>
  <c r="Q13" i="40"/>
  <c r="J13" i="40"/>
  <c r="E8" i="40"/>
  <c r="K13" i="40"/>
  <c r="P13" i="40"/>
  <c r="S13" i="40"/>
  <c r="C7" i="55" s="1"/>
  <c r="G10" i="55" l="1"/>
  <c r="D6" i="40"/>
  <c r="S14" i="40"/>
  <c r="C9" i="55" s="1"/>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3" i="55"/>
  <c r="G22" i="55"/>
  <c r="D7" i="55"/>
  <c r="I7" i="55" s="1"/>
  <c r="D8" i="55"/>
  <c r="E9" i="55"/>
  <c r="E8" i="55"/>
  <c r="D9" i="55"/>
  <c r="H29" i="41"/>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L32" i="41" l="1"/>
  <c r="L30" i="41"/>
  <c r="L38" i="41"/>
  <c r="C6" i="55"/>
  <c r="C8" i="55"/>
  <c r="I8" i="55" s="1"/>
  <c r="L37" i="41"/>
  <c r="L36" i="41"/>
  <c r="L35" i="41"/>
  <c r="D9" i="40"/>
  <c r="D17" i="41" s="1"/>
  <c r="L33" i="41"/>
  <c r="L29" i="41"/>
  <c r="L28" i="41"/>
  <c r="I9" i="55"/>
  <c r="H32" i="55"/>
  <c r="H28" i="55"/>
  <c r="H24" i="55"/>
  <c r="H31" i="55"/>
  <c r="H27" i="55"/>
  <c r="H23"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E77" i="55"/>
  <c r="G77" i="55"/>
  <c r="F77" i="55"/>
  <c r="C10" i="55" l="1"/>
  <c r="G17" i="55"/>
  <c r="C17" i="55"/>
  <c r="F17" i="55"/>
  <c r="K27" i="41"/>
  <c r="H15" i="55" s="1"/>
  <c r="H17" i="55" s="1"/>
  <c r="D10" i="39"/>
  <c r="D22" i="41" s="1"/>
  <c r="H5" i="55"/>
  <c r="H10" i="55" s="1"/>
  <c r="R14" i="39"/>
  <c r="I19" i="41" l="1"/>
  <c r="F4" i="39"/>
  <c r="O14" i="39"/>
  <c r="D4" i="39" s="1"/>
  <c r="F6" i="39"/>
  <c r="B3" i="74"/>
  <c r="I18" i="41"/>
  <c r="P14" i="39"/>
  <c r="I22" i="41"/>
  <c r="F8" i="39" l="1"/>
  <c r="E6" i="55"/>
  <c r="D5" i="39"/>
  <c r="E4" i="39" s="1"/>
  <c r="D6" i="55"/>
  <c r="D22" i="55"/>
  <c r="D77" i="55" s="1"/>
  <c r="D9" i="39"/>
  <c r="D19" i="41" s="1"/>
  <c r="E5" i="55"/>
  <c r="H27" i="41"/>
  <c r="D7" i="39"/>
  <c r="D5" i="55"/>
  <c r="C22" i="55"/>
  <c r="Q14" i="39"/>
  <c r="G27" i="41"/>
  <c r="D8" i="39"/>
  <c r="D6" i="39"/>
  <c r="E10" i="55" l="1"/>
  <c r="I6" i="55"/>
  <c r="E6" i="39"/>
  <c r="D15" i="55"/>
  <c r="D16" i="55"/>
  <c r="E15" i="55"/>
  <c r="E16" i="55"/>
  <c r="L27" i="41"/>
  <c r="H22" i="55"/>
  <c r="C77" i="55"/>
  <c r="H77" i="55" s="1"/>
  <c r="E8" i="39"/>
  <c r="D18" i="41"/>
  <c r="D23" i="41" s="1"/>
  <c r="I5" i="55"/>
  <c r="D10" i="55"/>
  <c r="I10" i="55" l="1"/>
  <c r="I16" i="55"/>
  <c r="I15" i="55"/>
  <c r="E17" i="55"/>
  <c r="D17" i="55"/>
  <c r="I17" i="55" l="1"/>
</calcChain>
</file>

<file path=xl/sharedStrings.xml><?xml version="1.0" encoding="utf-8"?>
<sst xmlns="http://schemas.openxmlformats.org/spreadsheetml/2006/main" count="880" uniqueCount="408">
  <si>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</si>
  <si>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</si>
  <si>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</si>
  <si>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</si>
  <si>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</si>
  <si>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</si>
  <si>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</si>
  <si>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</si>
  <si>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</si>
  <si>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</si>
  <si>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</si>
  <si>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</si>
  <si>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</si>
  <si>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</si>
  <si>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</si>
  <si>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</si>
  <si>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</si>
  <si>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</si>
  <si>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</si>
  <si>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</si>
  <si>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</si>
  <si>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</si>
  <si>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</si>
  <si>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</si>
  <si>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</si>
  <si>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</si>
  <si>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</si>
  <si>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</si>
  <si>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</si>
  <si>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</si>
  <si>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</si>
  <si>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</si>
  <si>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</si>
  <si>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</si>
  <si>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</si>
  <si>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</si>
  <si>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</si>
  <si>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</si>
  <si>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</si>
  <si>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</si>
  <si>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</si>
  <si>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</si>
  <si>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</si>
  <si>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</si>
  <si>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</si>
  <si>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</si>
  <si>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</si>
  <si>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</si>
  <si>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</si>
  <si>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</si>
  <si>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</si>
  <si>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</si>
  <si>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</si>
  <si>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</si>
  <si>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</si>
  <si>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</si>
  <si>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</si>
  <si>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</si>
  <si>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</si>
  <si>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</si>
  <si>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</si>
  <si>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</si>
  <si>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</si>
  <si>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</si>
  <si>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</si>
  <si>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</si>
  <si>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</si>
  <si>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</si>
  <si>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</si>
  <si>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</si>
  <si>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</si>
  <si>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</si>
  <si>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</si>
  <si>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</si>
  <si>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</si>
  <si>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</si>
  <si>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</si>
  <si>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</si>
  <si>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</si>
  <si>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</si>
  <si>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</si>
  <si>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</si>
  <si>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</si>
  <si>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</si>
  <si>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</si>
  <si>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</si>
  <si>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</si>
  <si>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</si>
  <si>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</si>
  <si>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</si>
  <si>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</si>
  <si>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</si>
  <si>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</si>
  <si>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</si>
  <si>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</si>
  <si>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</si>
  <si>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</si>
  <si>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</si>
  <si>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</si>
  <si>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</si>
  <si>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</si>
  <si>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</si>
  <si>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</si>
  <si>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</si>
  <si>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</si>
  <si>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</si>
  <si>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</si>
  <si>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</si>
  <si>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</si>
  <si>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</si>
  <si>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</si>
  <si>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</si>
  <si>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</si>
  <si>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</si>
  <si>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</si>
  <si>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</si>
  <si>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</si>
  <si>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</si>
  <si>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</si>
  <si>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</si>
  <si>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</si>
  <si>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</si>
  <si>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</si>
  <si>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</si>
  <si>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</si>
  <si>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</si>
  <si>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</si>
  <si>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</si>
  <si>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</si>
  <si>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</si>
  <si>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</si>
  <si>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</si>
  <si>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</si>
  <si>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</si>
  <si>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</si>
  <si>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</si>
  <si>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</si>
  <si>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</si>
  <si>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</si>
  <si>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</si>
  <si>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</si>
  <si>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</si>
  <si>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</si>
  <si>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</si>
  <si>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</si>
  <si>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</si>
  <si>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</si>
  <si>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</si>
  <si>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</si>
  <si>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</si>
  <si>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</si>
  <si>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</si>
  <si>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</si>
  <si>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</si>
  <si>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</si>
  <si>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</si>
  <si>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</si>
  <si>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</si>
  <si>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</si>
  <si>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</si>
  <si>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</si>
  <si>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</si>
  <si>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</si>
  <si>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</si>
  <si>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</si>
  <si>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</si>
  <si>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</si>
  <si>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</si>
  <si>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</si>
  <si>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</si>
  <si>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</si>
  <si>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</si>
  <si>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</si>
  <si>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</si>
  <si>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</si>
  <si>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</si>
  <si>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</si>
  <si>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</si>
  <si>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</si>
  <si>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</si>
  <si>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</si>
  <si>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</si>
  <si>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</si>
  <si>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</si>
  <si>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</si>
  <si>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</si>
  <si>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</si>
  <si>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</si>
  <si>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</si>
  <si>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</si>
  <si>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</si>
  <si>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</si>
  <si>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</si>
  <si>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</si>
  <si>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</si>
  <si>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</si>
  <si>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</si>
  <si>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</si>
  <si>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</si>
  <si>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</si>
  <si>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</si>
  <si>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</si>
  <si>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</si>
  <si>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</si>
  <si>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</si>
  <si>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</si>
  <si>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</si>
  <si>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</si>
  <si>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</si>
  <si>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</si>
  <si>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</si>
  <si>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</si>
  <si>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</si>
  <si>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</si>
  <si>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</si>
  <si>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</si>
  <si>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</si>
  <si>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</si>
  <si>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</si>
  <si>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</si>
  <si>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</si>
  <si>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</si>
  <si>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</si>
  <si>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</si>
  <si>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</si>
  <si>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</si>
  <si>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</si>
  <si>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</si>
  <si>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</si>
  <si>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</si>
  <si>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</si>
  <si>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</si>
  <si>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</si>
  <si>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</si>
  <si>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</si>
  <si>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</si>
  <si>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</si>
  <si>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</si>
  <si>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</si>
  <si>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</si>
  <si>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</si>
  <si>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</si>
  <si>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</si>
  <si>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</si>
  <si>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</si>
  <si>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</si>
  <si>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</si>
  <si>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</si>
  <si>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</si>
  <si>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</si>
  <si>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</si>
  <si>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</si>
  <si>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</si>
  <si>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</si>
  <si>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</si>
  <si>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</si>
  <si>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</si>
  <si>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</si>
  <si>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</si>
  <si>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</si>
  <si>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</si>
  <si>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</si>
  <si>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</si>
  <si>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</si>
  <si>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</si>
  <si>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</si>
  <si>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</si>
  <si>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</si>
  <si>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</si>
  <si>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</si>
  <si>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</si>
  <si>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</si>
  <si>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</si>
  <si>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</si>
  <si>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</si>
  <si>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</si>
  <si>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</si>
  <si>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</si>
  <si>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</si>
  <si>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</si>
  <si>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</si>
  <si>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</si>
  <si>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</si>
  <si>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</si>
  <si>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</si>
  <si>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</si>
  <si>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</si>
  <si>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</si>
  <si>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</si>
  <si>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</si>
  <si>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</si>
  <si>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</si>
  <si>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</si>
  <si>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</si>
  <si>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</si>
  <si>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</si>
  <si>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</si>
  <si>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</si>
  <si>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</si>
  <si>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</si>
  <si>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</si>
  <si>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</si>
  <si>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</si>
  <si>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</si>
  <si>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</si>
  <si>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</si>
  <si>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</si>
  <si>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</si>
  <si>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</si>
  <si>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</si>
  <si>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</si>
  <si>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</si>
  <si>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</si>
  <si>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</si>
  <si>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</si>
  <si>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</si>
  <si>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</si>
  <si>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</si>
  <si>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</si>
  <si>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</si>
  <si>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</si>
  <si>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</si>
  <si>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</si>
  <si>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</si>
  <si>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</si>
  <si>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</si>
  <si>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</si>
  <si>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</si>
  <si>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</si>
  <si>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</si>
  <si>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</si>
  <si>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</si>
  <si>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</si>
  <si>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</si>
  <si>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</si>
  <si>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</si>
  <si>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</si>
  <si>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</si>
  <si>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</si>
  <si>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</si>
  <si>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</si>
  <si>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</si>
  <si>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</si>
  <si>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</si>
  <si>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</si>
  <si>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</si>
  <si>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</si>
  <si>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</si>
  <si>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</si>
  <si>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</si>
  <si>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</si>
  <si>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</si>
  <si>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</si>
  <si>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</si>
  <si>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</si>
  <si>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</si>
  <si>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</si>
  <si>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</si>
  <si>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</si>
  <si>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</si>
  <si>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DUNP</t>
  </si>
  <si>
    <t>UNS</t>
  </si>
  <si>
    <t>UNI</t>
  </si>
  <si>
    <t>KU Leuven</t>
  </si>
  <si>
    <t>University of Cape Town</t>
  </si>
  <si>
    <t>IIT Bombay</t>
  </si>
  <si>
    <t>Tsinghua University</t>
  </si>
  <si>
    <t>TUM</t>
  </si>
  <si>
    <t>Joint Project</t>
  </si>
  <si>
    <t>KRATKI KURSEVI</t>
  </si>
  <si>
    <t>KK</t>
  </si>
  <si>
    <t>Novi Pazar</t>
  </si>
  <si>
    <t>Novi Sad</t>
  </si>
  <si>
    <t>Nis</t>
  </si>
  <si>
    <t>Peking</t>
  </si>
  <si>
    <t>Minhen</t>
  </si>
  <si>
    <t>Leuven</t>
  </si>
  <si>
    <t>Cape Town</t>
  </si>
  <si>
    <t>Priroda opreme: Oprema za izgradnju kapaciteta
Naziv i vrsta: Računari i oprema za inovacione centre
Specifikacije:
Računari: 15 desktop računara, Intel i7, 16 GB RAM, SSD 512 GB
Oprema za inovacione centre: 2 3D štampača</t>
  </si>
  <si>
    <t>Naziv i vrsta: Oprema za laboratorije u oblasti AI
Specifikacije:
Laboratorijski uređaji: 10 računara sa GPU za mašinsko učenje, 2 VR setova
Softver: Licencirani alati za istraživanje i razvoj u AI</t>
  </si>
  <si>
    <t>Priroda opreme: Istraživački laboratoriji
Naziv i vrsta: Specijalizovani serveri i istraživački alati
Specifikacije:
Serveri: 5 servera sa minimalno 32 GB RAM, 2 TB SSD
Istraživački alati: Softver za naprednu analizu podataka</t>
  </si>
  <si>
    <t>Finansiranje troškova nabavke IT opreme</t>
  </si>
  <si>
    <t>Addiko Bank</t>
  </si>
  <si>
    <t>Potrebna sredstva za nabavku računara i softvera za implementaciju novog kurikuluma (10 računara x 1.000 EUR + softver x 5.000 EUR)</t>
  </si>
  <si>
    <t>Finansiranje troškova putovanja i boravka</t>
  </si>
  <si>
    <t>Raiffeisen Bank</t>
  </si>
  <si>
    <t>Potrebna sredstva za: putovanje i smeštaj za nastavno osoblje na međunarodnom seminaru (7 dana x 5 osoba x 300 EUR)</t>
  </si>
  <si>
    <t>Finansiranje troškova štampanja materijala za kurseve</t>
  </si>
  <si>
    <t>Eurobank</t>
  </si>
  <si>
    <t>Potrebna sredstva za štampanje i distribuciju nastavnog materijala (500 kopija x 20 EUR)</t>
  </si>
  <si>
    <t>Finansiranje troškova organizacije radionica</t>
  </si>
  <si>
    <t>Bank of China</t>
  </si>
  <si>
    <t>Potrebna sredstva za organizaciju radionica za studente i osoblje (3 dana x 50 osoba x 100 EUR)</t>
  </si>
  <si>
    <t xml:space="preserve">Finansiranje troškova putovanja i boravka
</t>
  </si>
  <si>
    <t>ING Bank Belgium</t>
  </si>
  <si>
    <t>Potrebna sredstva za putovanje i smeštaj osoblja tokom studijskih poseta (5 dana x 10 osoba x 350 EUR)</t>
  </si>
  <si>
    <t>Finansiranje troškova nabavke laboratorijske opreme</t>
  </si>
  <si>
    <t>Standard Bank</t>
  </si>
  <si>
    <t>Potrebna sredstva za nabavku laboratorijske opreme za istraživanje (2 mikroskopa x 7,500 EUR + reagenti x 5,000 EUR)</t>
  </si>
  <si>
    <t>Finansiranje troškova razvoja softverskih alata</t>
  </si>
  <si>
    <t>ICICI Bank</t>
  </si>
  <si>
    <t>Potrebna sredstva za razvoj i implementaciju specijalizovanih softverskih alata za kurseve (softver x 15,000 EUR)</t>
  </si>
  <si>
    <t>Finansiranje troškova organizacije konferencije</t>
  </si>
  <si>
    <t>Deutsche Bank</t>
  </si>
  <si>
    <t>Potrebna sredstva za organizaciju međunarodne konferencije za nastavno osoblje i studente (3 dana x 50 osoba x 200 EUR)</t>
  </si>
  <si>
    <t>Bombay</t>
  </si>
  <si>
    <t>Softver za statističku analizu: SPSS, SAS, Stata, ili R
Softver za vizualizaciju podataka: Tableau, Power BI, ili QlikView
Softver za analizu tržišta: SEMrush, Google Analytics, ili Statista
Softver za finansijske procene: Excel sa naprednim funkcijama ili specijalizovani softver poput QuickBooks za kompleksnije analize</t>
  </si>
  <si>
    <t>Kamera za video konferencije: HD kamera sa širokim uglom, npr. Logitech MeetUp
Konferencijski mikrofon: Omnidirekcioni mikrofon sa ugrađenim zvučnikom, npr. Jabra Speak 750 ili Polycom SoundStation
Slušalice sa mikrofonom: Za lične video pozive, npr. Bose Noise Cancelling Headphones 700 ili Jabra Evolve 75
Softver za video konferencije: Zoom, Microsoft Teams, Google Meet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</si>
</sst>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sz val="8"/>
      <name val="Calibri"/>
      <family val="2"/>
      <scheme val="minor"/>
    </font>
    <font>
      <b/>
      <sz val="14"/>
      <color rgb="FFFF0000"/>
      <name val="Calibri"/>
      <family val="2"/>
      <charset val="238"/>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cellXfs>
  <cellStyles count="6">
    <cellStyle name="Hiperveza" xfId="2" builtinId="8"/>
    <cellStyle name="Hyperlink 2" xfId="4" xr:uid="{00000000-0005-0000-0000-000002000000}"/>
    <cellStyle name="Normal 2" xfId="3" xr:uid="{00000000-0005-0000-0000-000004000000}"/>
    <cellStyle name="Normalan" xfId="0" builtinId="0"/>
    <cellStyle name="Procenat" xfId="5" builtinId="5"/>
    <cellStyle name="Zarez" xfId="1" builtinId="3"/>
  </cellStyles>
  <dxfs count="545">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ont>
        <color rgb="FFFF0000"/>
      </font>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Tema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8" zoomScale="70" zoomScaleNormal="70" zoomScaleSheetLayoutView="85" workbookViewId="0">
      <selection activeCell="D36" sqref="D36"/>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t="s">
        <v>368</v>
      </c>
      <c r="E11" s="114" t="str">
        <f>IF(D11="","Please select Action Type",IF(OR(D11="Joint Project",D11="Structural Project"),"","Error Type of Action"))</f>
        <v/>
      </c>
      <c r="F11" s="114"/>
      <c r="G11" s="114"/>
      <c r="H11" s="114"/>
      <c r="I11" s="114"/>
      <c r="J11" s="114"/>
      <c r="K11" s="114"/>
      <c r="L11" s="114"/>
    </row>
    <row r="12" spans="2:12" s="6" customFormat="1" ht="18" customHeight="1" x14ac:dyDescent="0.35">
      <c r="B12" s="112" t="s">
        <v>136</v>
      </c>
      <c r="C12" s="112"/>
      <c r="D12" s="11">
        <v>36</v>
      </c>
      <c r="E12" s="114" t="str">
        <f>IF(D12="","Please select duration",IF(OR(D12=24,D12=36),"","Error duration"))</f>
        <v/>
      </c>
      <c r="F12" s="114"/>
      <c r="G12" s="114"/>
      <c r="H12" s="114"/>
      <c r="I12" s="114"/>
      <c r="J12" s="114"/>
      <c r="K12" s="114"/>
      <c r="L12" s="114"/>
    </row>
    <row r="13" spans="2:12" s="6" customFormat="1" ht="18" customHeight="1" x14ac:dyDescent="0.35">
      <c r="B13" s="112" t="s">
        <v>169</v>
      </c>
      <c r="C13" s="112"/>
      <c r="D13" s="11" t="s">
        <v>370</v>
      </c>
      <c r="E13" s="114" t="str">
        <f>IF(D13="","Please fill in Project Acronym","")</f>
        <v/>
      </c>
      <c r="F13" s="114"/>
      <c r="G13" s="114"/>
      <c r="H13" s="114"/>
      <c r="I13" s="114"/>
      <c r="J13" s="114"/>
      <c r="K13" s="114"/>
      <c r="L13" s="114"/>
    </row>
    <row r="14" spans="2:12" s="6" customFormat="1" ht="18" customHeight="1" x14ac:dyDescent="0.35">
      <c r="B14" s="112" t="s">
        <v>170</v>
      </c>
      <c r="C14" s="112"/>
      <c r="D14" s="115" t="s">
        <v>369</v>
      </c>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233191</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179005</v>
      </c>
      <c r="E18" s="121"/>
      <c r="F18" s="122"/>
      <c r="G18" s="122"/>
      <c r="H18" s="122"/>
      <c r="I18" s="123" t="str">
        <f>IF(COUNTIF(' 2-3-6. Travel&amp;Costs of Stay'!R:R,"Error")&lt;=1,"","Please check data in Tab '2-3-6. Travel&amp;Costs of Stay'")</f>
        <v/>
      </c>
      <c r="J18" s="123"/>
      <c r="K18" s="123"/>
      <c r="L18" s="124"/>
    </row>
    <row r="19" spans="2:12" s="6" customFormat="1" x14ac:dyDescent="0.35">
      <c r="B19" s="112" t="s">
        <v>187</v>
      </c>
      <c r="C19" s="112"/>
      <c r="D19" s="13">
        <f>' 2-3-6. Travel&amp;Costs of Stay'!D9</f>
        <v>285360</v>
      </c>
      <c r="E19" s="131"/>
      <c r="F19" s="132"/>
      <c r="G19" s="132"/>
      <c r="H19" s="132"/>
      <c r="I19" s="123" t="str">
        <f>IF(COUNTIF(' 2-3-6. Travel&amp;Costs of Stay'!R:R,"Error")&lt;=1,"","Please check data in Tab '2-3-6. Travel&amp;Costs of Stay'")</f>
        <v/>
      </c>
      <c r="J19" s="123"/>
      <c r="K19" s="123"/>
      <c r="L19" s="124"/>
    </row>
    <row r="20" spans="2:12" s="6" customFormat="1" x14ac:dyDescent="0.35">
      <c r="B20" s="112" t="s">
        <v>185</v>
      </c>
      <c r="C20" s="112"/>
      <c r="D20" s="13">
        <f>'4. Equipment Costs'!C4</f>
        <v>144500</v>
      </c>
      <c r="E20" s="121" t="str">
        <f>"Cannot exceed 30% of Total Grant requested"</f>
        <v>Cannot exceed 30% of Total Grant requested</v>
      </c>
      <c r="F20" s="122"/>
      <c r="G20" s="122"/>
      <c r="H20" s="122"/>
      <c r="I20" s="123" t="str">
        <f>IF(COUNTIF('4. Equipment Costs'!I:I,"Error")&lt;=1,"","Please check data in Tab '4. Equipment Costs''")</f>
        <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
      </c>
      <c r="J22" s="123"/>
      <c r="K22" s="123"/>
      <c r="L22" s="124"/>
    </row>
    <row r="23" spans="2:12" ht="24.9" customHeight="1" x14ac:dyDescent="0.35">
      <c r="B23" s="125" t="s">
        <v>332</v>
      </c>
      <c r="C23" s="126"/>
      <c r="D23" s="14">
        <f>SUM(D17:D22)</f>
        <v>842056</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60341</v>
      </c>
      <c r="G27" s="20">
        <f>SUMIF(' 2-3-6. Travel&amp;Costs of Stay'!C:C,B27,' 2-3-6. Travel&amp;Costs of Stay'!O:O)</f>
        <v>73800</v>
      </c>
      <c r="H27" s="20">
        <f>SUMIF(' 2-3-6. Travel&amp;Costs of Stay'!C:C,B27,' 2-3-6. Travel&amp;Costs of Stay'!P:P)</f>
        <v>120000</v>
      </c>
      <c r="I27" s="20">
        <f>SUMIF('4. Equipment Costs'!C:C,B27,'4. Equipment Costs'!H:H)</f>
        <v>0</v>
      </c>
      <c r="J27" s="20">
        <f>SUMIF('5. Subcontracting Costs'!C:C,B27,'5. Subcontracting Costs'!H:H)</f>
        <v>0</v>
      </c>
      <c r="K27" s="20">
        <f>SUMIF(' 2-3-6. Travel&amp;Costs of Stay'!C:C,B27,' 2-3-6. Travel&amp;Costs of Stay'!N:N)</f>
        <v>0</v>
      </c>
      <c r="L27" s="21">
        <f>IF(OR(C27="",D27=""),0,SUM(F27:K27))</f>
        <v>254141</v>
      </c>
    </row>
    <row r="28" spans="2:12" x14ac:dyDescent="0.35">
      <c r="B28" s="48" t="s">
        <v>9</v>
      </c>
      <c r="C28" s="22" t="s">
        <v>361</v>
      </c>
      <c r="D28" s="18" t="s">
        <v>98</v>
      </c>
      <c r="E28" s="19" t="str">
        <f t="shared" si="0"/>
        <v>Programme Countries</v>
      </c>
      <c r="F28" s="20">
        <f>SUMIF('1. Staff costs'!C:C,B28,'1. Staff costs'!S:S)</f>
        <v>32377</v>
      </c>
      <c r="G28" s="20">
        <f>SUMIF(' 2-3-6. Travel&amp;Costs of Stay'!C:C,B28,' 2-3-6. Travel&amp;Costs of Stay'!O:O)</f>
        <v>9460</v>
      </c>
      <c r="H28" s="20">
        <f>SUMIF(' 2-3-6. Travel&amp;Costs of Stay'!C:C,B28,' 2-3-6. Travel&amp;Costs of Stay'!P:P)</f>
        <v>39840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81677</v>
      </c>
    </row>
    <row r="29" spans="2:12" x14ac:dyDescent="0.35">
      <c r="B29" s="48" t="s">
        <v>10</v>
      </c>
      <c r="C29" s="22" t="s">
        <v>362</v>
      </c>
      <c r="D29" s="18" t="s">
        <v>98</v>
      </c>
      <c r="E29" s="19" t="str">
        <f t="shared" si="0"/>
        <v>Programme Countries</v>
      </c>
      <c r="F29" s="20">
        <f>SUMIF('1. Staff costs'!C:C,B29,'1. Staff costs'!S:S)</f>
        <v>38697</v>
      </c>
      <c r="G29" s="20">
        <f>SUMIF(' 2-3-6. Travel&amp;Costs of Stay'!C:C,B29,' 2-3-6. Travel&amp;Costs of Stay'!O:O)</f>
        <v>9640</v>
      </c>
      <c r="H29" s="20">
        <f>SUMIF(' 2-3-6. Travel&amp;Costs of Stay'!C:C,B29,' 2-3-6. Travel&amp;Costs of Stay'!P:P)</f>
        <v>40560</v>
      </c>
      <c r="I29" s="20">
        <f>SUMIF('4. Equipment Costs'!C:C,B29,'4. Equipment Costs'!H:H)</f>
        <v>0</v>
      </c>
      <c r="J29" s="20">
        <f>SUMIF('5. Subcontracting Costs'!C:C,B29,'5. Subcontracting Costs'!H:H)</f>
        <v>0</v>
      </c>
      <c r="K29" s="20">
        <f>SUMIF(' 2-3-6. Travel&amp;Costs of Stay'!C:C,B29,' 2-3-6. Travel&amp;Costs of Stay'!N:N)</f>
        <v>0</v>
      </c>
      <c r="L29" s="21">
        <f t="shared" si="1"/>
        <v>88897</v>
      </c>
    </row>
    <row r="30" spans="2:12" x14ac:dyDescent="0.35">
      <c r="B30" s="48" t="s">
        <v>11</v>
      </c>
      <c r="C30" s="22" t="s">
        <v>364</v>
      </c>
      <c r="D30" s="18" t="s">
        <v>99</v>
      </c>
      <c r="E30" s="19" t="str">
        <f t="shared" si="0"/>
        <v>Partner Countries</v>
      </c>
      <c r="F30" s="20">
        <f>SUMIF('1. Staff costs'!C:C,B30,'1. Staff costs'!S:S)</f>
        <v>8243</v>
      </c>
      <c r="G30" s="20">
        <f>SUMIF(' 2-3-6. Travel&amp;Costs of Stay'!C:C,B30,' 2-3-6. Travel&amp;Costs of Stay'!O:O)</f>
        <v>33000</v>
      </c>
      <c r="H30" s="20">
        <f>SUMIF(' 2-3-6. Travel&amp;Costs of Stay'!C:C,B30,' 2-3-6. Travel&amp;Costs of Stay'!P:P)</f>
        <v>15840</v>
      </c>
      <c r="I30" s="20">
        <f>SUMIF('4. Equipment Costs'!C:C,B30,'4. Equipment Costs'!H:H)</f>
        <v>55000</v>
      </c>
      <c r="J30" s="20">
        <f>SUMIF('5. Subcontracting Costs'!C:C,B30,'5. Subcontracting Costs'!H:H)</f>
        <v>0</v>
      </c>
      <c r="K30" s="20">
        <f>SUMIF(' 2-3-6. Travel&amp;Costs of Stay'!C:C,B30,' 2-3-6. Travel&amp;Costs of Stay'!N:N)</f>
        <v>0</v>
      </c>
      <c r="L30" s="21">
        <f t="shared" si="1"/>
        <v>112083</v>
      </c>
    </row>
    <row r="31" spans="2:12" x14ac:dyDescent="0.35">
      <c r="B31" s="48" t="s">
        <v>12</v>
      </c>
      <c r="C31" s="22" t="s">
        <v>363</v>
      </c>
      <c r="D31" s="18" t="s">
        <v>4</v>
      </c>
      <c r="E31" s="19" t="str">
        <f t="shared" si="0"/>
        <v>Programme Countries</v>
      </c>
      <c r="F31" s="20">
        <f>SUMIF('1. Staff costs'!C:C,B31,'1. Staff costs'!S:S)</f>
        <v>38190</v>
      </c>
      <c r="G31" s="20">
        <f>SUMIF(' 2-3-6. Travel&amp;Costs of Stay'!C:C,B31,' 2-3-6. Travel&amp;Costs of Stay'!O:O)</f>
        <v>6875</v>
      </c>
      <c r="H31" s="20">
        <f>SUMIF(' 2-3-6. Travel&amp;Costs of Stay'!C:C,B31,' 2-3-6. Travel&amp;Costs of Stay'!P:P)</f>
        <v>18000</v>
      </c>
      <c r="I31" s="20">
        <f>SUMIF('4. Equipment Costs'!C:C,B31,'4. Equipment Costs'!H:H)</f>
        <v>0</v>
      </c>
      <c r="J31" s="20">
        <f>SUMIF('5. Subcontracting Costs'!C:C,B31,'5. Subcontracting Costs'!H:H)</f>
        <v>0</v>
      </c>
      <c r="K31" s="20">
        <f>SUMIF(' 2-3-6. Travel&amp;Costs of Stay'!C:C,B31,' 2-3-6. Travel&amp;Costs of Stay'!N:N)</f>
        <v>0</v>
      </c>
      <c r="L31" s="21">
        <f t="shared" si="1"/>
        <v>63065</v>
      </c>
    </row>
    <row r="32" spans="2:12" x14ac:dyDescent="0.35">
      <c r="B32" s="48" t="s">
        <v>13</v>
      </c>
      <c r="C32" s="22" t="s">
        <v>365</v>
      </c>
      <c r="D32" s="18" t="s">
        <v>76</v>
      </c>
      <c r="E32" s="19" t="str">
        <f t="shared" si="0"/>
        <v>Partner Countries</v>
      </c>
      <c r="F32" s="20">
        <f>SUMIF('1. Staff costs'!C:C,B32,'1. Staff costs'!S:S)</f>
        <v>6234</v>
      </c>
      <c r="G32" s="20">
        <f>SUMIF(' 2-3-6. Travel&amp;Costs of Stay'!C:C,B32,' 2-3-6. Travel&amp;Costs of Stay'!O:O)</f>
        <v>20500</v>
      </c>
      <c r="H32" s="20">
        <f>SUMIF(' 2-3-6. Travel&amp;Costs of Stay'!C:C,B32,' 2-3-6. Travel&amp;Costs of Stay'!P:P)</f>
        <v>18000</v>
      </c>
      <c r="I32" s="20">
        <f>SUMIF('4. Equipment Costs'!C:C,B32,'4. Equipment Costs'!H:H)</f>
        <v>39500</v>
      </c>
      <c r="J32" s="20">
        <f>SUMIF('5. Subcontracting Costs'!C:C,B32,'5. Subcontracting Costs'!H:H)</f>
        <v>0</v>
      </c>
      <c r="K32" s="20">
        <f>SUMIF(' 2-3-6. Travel&amp;Costs of Stay'!C:C,B32,' 2-3-6. Travel&amp;Costs of Stay'!N:N)</f>
        <v>0</v>
      </c>
      <c r="L32" s="21">
        <f t="shared" si="1"/>
        <v>84234</v>
      </c>
    </row>
    <row r="33" spans="2:12" x14ac:dyDescent="0.35">
      <c r="B33" s="48" t="s">
        <v>14</v>
      </c>
      <c r="C33" s="22" t="s">
        <v>366</v>
      </c>
      <c r="D33" s="18" t="s">
        <v>67</v>
      </c>
      <c r="E33" s="19" t="str">
        <f t="shared" si="0"/>
        <v>Partner Countries</v>
      </c>
      <c r="F33" s="20">
        <f>SUMIF('1. Staff costs'!C:C,B33,'1. Staff costs'!S:S)</f>
        <v>8243</v>
      </c>
      <c r="G33" s="20">
        <f>SUMIF(' 2-3-6. Travel&amp;Costs of Stay'!C:C,B33,' 2-3-6. Travel&amp;Costs of Stay'!O:O)</f>
        <v>19680</v>
      </c>
      <c r="H33" s="20">
        <f>SUMIF(' 2-3-6. Travel&amp;Costs of Stay'!C:C,B33,' 2-3-6. Travel&amp;Costs of Stay'!P:P)</f>
        <v>17280</v>
      </c>
      <c r="I33" s="20">
        <f>SUMIF('4. Equipment Costs'!C:C,B33,'4. Equipment Costs'!H:H)</f>
        <v>50000</v>
      </c>
      <c r="J33" s="20">
        <f>SUMIF('5. Subcontracting Costs'!C:C,B33,'5. Subcontracting Costs'!H:H)</f>
        <v>0</v>
      </c>
      <c r="K33" s="20">
        <f>SUMIF(' 2-3-6. Travel&amp;Costs of Stay'!C:C,B33,' 2-3-6. Travel&amp;Costs of Stay'!N:N)</f>
        <v>0</v>
      </c>
      <c r="L33" s="21">
        <f t="shared" si="1"/>
        <v>95203</v>
      </c>
    </row>
    <row r="34" spans="2:12" x14ac:dyDescent="0.35">
      <c r="B34" s="48" t="s">
        <v>15</v>
      </c>
      <c r="C34" s="22" t="s">
        <v>367</v>
      </c>
      <c r="D34" s="18" t="s">
        <v>28</v>
      </c>
      <c r="E34" s="19" t="str">
        <f t="shared" si="0"/>
        <v>Programme Countries</v>
      </c>
      <c r="F34" s="20">
        <f>SUMIF('1. Staff costs'!C:C,B34,'1. Staff costs'!S:S)</f>
        <v>40866</v>
      </c>
      <c r="G34" s="20">
        <f>SUMIF(' 2-3-6. Travel&amp;Costs of Stay'!C:C,B34,' 2-3-6. Travel&amp;Costs of Stay'!O:O)</f>
        <v>6050</v>
      </c>
      <c r="H34" s="20">
        <f>SUMIF(' 2-3-6. Travel&amp;Costs of Stay'!C:C,B34,' 2-3-6. Travel&amp;Costs of Stay'!P:P)</f>
        <v>15840</v>
      </c>
      <c r="I34" s="20">
        <f>SUMIF('4. Equipment Costs'!C:C,B34,'4. Equipment Costs'!H:H)</f>
        <v>0</v>
      </c>
      <c r="J34" s="20">
        <f>SUMIF('5. Subcontracting Costs'!C:C,B34,'5. Subcontracting Costs'!H:H)</f>
        <v>0</v>
      </c>
      <c r="K34" s="20">
        <f>SUMIF(' 2-3-6. Travel&amp;Costs of Stay'!C:C,B34,' 2-3-6. Travel&amp;Costs of Stay'!N:N)</f>
        <v>0</v>
      </c>
      <c r="L34" s="21">
        <f t="shared" si="1"/>
        <v>62756</v>
      </c>
    </row>
    <row r="35" spans="2:12" x14ac:dyDescent="0.35">
      <c r="B35" s="48" t="s">
        <v>16</v>
      </c>
      <c r="C35" s="22"/>
      <c r="D35" s="18"/>
      <c r="E35" s="19" t="str">
        <f t="shared" si="0"/>
        <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544" priority="18">
      <formula>D17&gt;ROUND(D23*0.4,2)</formula>
    </cfRule>
  </conditionalFormatting>
  <conditionalFormatting sqref="D20">
    <cfRule type="expression" dxfId="543" priority="16">
      <formula>D20&gt;ROUND(D23*0.3,2)</formula>
    </cfRule>
  </conditionalFormatting>
  <conditionalFormatting sqref="D21">
    <cfRule type="expression" dxfId="542" priority="14">
      <formula>D21&gt;ROUND(D23*0.1,2)</formula>
    </cfRule>
  </conditionalFormatting>
  <conditionalFormatting sqref="D23">
    <cfRule type="cellIs" dxfId="541" priority="12" operator="notBetween">
      <formula>500000</formula>
      <formula>1000000</formula>
    </cfRule>
  </conditionalFormatting>
  <conditionalFormatting sqref="E18 I18">
    <cfRule type="cellIs" dxfId="540" priority="2" operator="equal">
      <formula>"Exceptional travel costs exceed 80% of total travel costs"</formula>
    </cfRule>
  </conditionalFormatting>
  <conditionalFormatting sqref="I19">
    <cfRule type="cellIs" dxfId="539"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537" priority="5" operator="notEqual">
      <formula>"OK"</formula>
    </cfRule>
    <cfRule type="cellIs" dxfId="536"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46"/>
  <sheetViews>
    <sheetView showGridLines="0" topLeftCell="B1" zoomScale="70" zoomScaleNormal="70" zoomScaleSheetLayoutView="55" workbookViewId="0">
      <pane ySplit="13" topLeftCell="A14" activePane="bottomLeft" state="frozen"/>
      <selection pane="bottomLeft" activeCell="B28" sqref="B28"/>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132538</v>
      </c>
      <c r="E5" s="28">
        <f>SUMIF(T:T,"&lt;&gt;Error",F:F)</f>
        <v>1075</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69110</v>
      </c>
      <c r="E6" s="28">
        <f>SUMIF(T:T,"&lt;&gt;Error",I:I)</f>
        <v>881</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13970</v>
      </c>
      <c r="E7" s="28">
        <f>SUMIF(T:T,"&lt;&gt;Error",L:L)</f>
        <v>254</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17573</v>
      </c>
      <c r="E8" s="28">
        <f>SUMIF(T:T,"&lt;&gt;Error",O:O)</f>
        <v>331</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233191</v>
      </c>
      <c r="E9" s="29">
        <f>SUM(E5:E8)</f>
        <v>2541</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DUNP</v>
      </c>
      <c r="E14" s="46" t="str">
        <f t="shared" si="1"/>
        <v>Serbia</v>
      </c>
      <c r="F14" s="32">
        <v>55</v>
      </c>
      <c r="G14" s="33">
        <f t="shared" si="2"/>
        <v>88</v>
      </c>
      <c r="H14" s="34">
        <f t="shared" si="3"/>
        <v>4840</v>
      </c>
      <c r="I14" s="32">
        <v>177</v>
      </c>
      <c r="J14" s="33">
        <f t="shared" si="4"/>
        <v>74</v>
      </c>
      <c r="K14" s="34">
        <f t="shared" si="5"/>
        <v>13098</v>
      </c>
      <c r="L14" s="32">
        <v>26</v>
      </c>
      <c r="M14" s="33">
        <f t="shared" si="6"/>
        <v>55</v>
      </c>
      <c r="N14" s="34">
        <f t="shared" si="7"/>
        <v>1430</v>
      </c>
      <c r="O14" s="32">
        <v>54</v>
      </c>
      <c r="P14" s="33">
        <f t="shared" si="8"/>
        <v>39</v>
      </c>
      <c r="Q14" s="34">
        <f t="shared" si="9"/>
        <v>2106</v>
      </c>
      <c r="R14" s="35">
        <f t="shared" si="10"/>
        <v>312</v>
      </c>
      <c r="S14" s="36">
        <f t="shared" si="11"/>
        <v>21474</v>
      </c>
      <c r="T14" s="37" t="str">
        <f t="shared" si="12"/>
        <v/>
      </c>
    </row>
    <row r="15" spans="2:20" s="38" customFormat="1" x14ac:dyDescent="0.3">
      <c r="B15" s="18" t="s">
        <v>173</v>
      </c>
      <c r="C15" s="23" t="s">
        <v>9</v>
      </c>
      <c r="D15" s="46" t="str">
        <f t="shared" ref="D15:D46" si="13">IFERROR(IF(VLOOKUP(C15,PartnerN°Ref,2,FALSE)=0,"",VLOOKUP(C15,PartnerN°Ref,2,FALSE)),"")</f>
        <v>UNS</v>
      </c>
      <c r="E15" s="46" t="str">
        <f t="shared" ref="E15:E46" si="14">IFERROR(IF(OR(VLOOKUP(C15,PartnerN°Ref,4,FALSE)="Country not found",VLOOKUP(C15,PartnerN°Ref,3,FALSE)=0),"",VLOOKUP(C15,PartnerN°Ref,3,FALSE)),"")</f>
        <v>Serbia</v>
      </c>
      <c r="F15" s="32">
        <v>19</v>
      </c>
      <c r="G15" s="33">
        <f t="shared" ref="G15:G46" si="15">IF(T15="Error",0,INDEX(Rates,MATCH(E15,CountryALL,0),MATCH($F$11,Category,0)))</f>
        <v>88</v>
      </c>
      <c r="H15" s="34">
        <f t="shared" ref="H15:H46" si="16">IFERROR(IF(T15="Error",0,ROUND(F15*G15,2)),0)</f>
        <v>1672</v>
      </c>
      <c r="I15" s="32">
        <v>6</v>
      </c>
      <c r="J15" s="33">
        <f t="shared" ref="J15:J46" si="17">IF(T15="Error",0,INDEX(Rates,MATCH(E15,CountryALL,0),MATCH($I$11,Category,0)))</f>
        <v>74</v>
      </c>
      <c r="K15" s="34">
        <f t="shared" ref="K15:K46" si="18">IFERROR(IF(T15="Error",0,ROUND(I15*J15,2)),0)</f>
        <v>444</v>
      </c>
      <c r="L15" s="32">
        <v>0</v>
      </c>
      <c r="M15" s="33">
        <f t="shared" ref="M15:M46" si="19">IF(T15="Error",0,INDEX(Rates,MATCH(E15,CountryALL,0),MATCH($L$11,Category,0)))</f>
        <v>55</v>
      </c>
      <c r="N15" s="34">
        <f t="shared" ref="N15:N46" si="20">IFERROR(IF(T15="Error",0,ROUND(L15*M15,2)),0)</f>
        <v>0</v>
      </c>
      <c r="O15" s="32">
        <v>10</v>
      </c>
      <c r="P15" s="33">
        <f t="shared" ref="P15:P46" si="21">IF(T15="Error",0,INDEX(Rates,MATCH(E15,CountryALL,0),MATCH($O$11,Category,0)))</f>
        <v>39</v>
      </c>
      <c r="Q15" s="34">
        <f t="shared" ref="Q15:Q46" si="22">IFERROR(IF(T15="Error",0,ROUND(O15*P15,2)),0)</f>
        <v>390</v>
      </c>
      <c r="R15" s="35">
        <f t="shared" ref="R15:R46" si="23">IF(T15="Error",0,F15+I15+L15+O15)</f>
        <v>35</v>
      </c>
      <c r="S15" s="36">
        <f t="shared" ref="S15:S46" si="24">IF(T15="Error",0,H15+K15+N15+Q15)</f>
        <v>2506</v>
      </c>
      <c r="T15" s="37" t="str">
        <f t="shared" ref="T15:T4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10</v>
      </c>
      <c r="D16" s="46" t="str">
        <f t="shared" si="13"/>
        <v>UNI</v>
      </c>
      <c r="E16" s="46" t="str">
        <f t="shared" si="14"/>
        <v>Serbia</v>
      </c>
      <c r="F16" s="32">
        <v>19</v>
      </c>
      <c r="G16" s="33">
        <f t="shared" si="15"/>
        <v>88</v>
      </c>
      <c r="H16" s="34">
        <f t="shared" si="16"/>
        <v>1672</v>
      </c>
      <c r="I16" s="32">
        <v>6</v>
      </c>
      <c r="J16" s="33">
        <f t="shared" si="17"/>
        <v>74</v>
      </c>
      <c r="K16" s="34">
        <f t="shared" si="18"/>
        <v>444</v>
      </c>
      <c r="L16" s="32">
        <v>0</v>
      </c>
      <c r="M16" s="33">
        <f t="shared" si="19"/>
        <v>55</v>
      </c>
      <c r="N16" s="34">
        <f t="shared" si="20"/>
        <v>0</v>
      </c>
      <c r="O16" s="32">
        <v>10</v>
      </c>
      <c r="P16" s="33">
        <f t="shared" si="21"/>
        <v>39</v>
      </c>
      <c r="Q16" s="34">
        <f t="shared" si="22"/>
        <v>390</v>
      </c>
      <c r="R16" s="35">
        <f t="shared" si="23"/>
        <v>35</v>
      </c>
      <c r="S16" s="36">
        <f t="shared" si="24"/>
        <v>2506</v>
      </c>
      <c r="T16" s="37" t="str">
        <f t="shared" si="25"/>
        <v/>
      </c>
    </row>
    <row r="17" spans="2:20" s="38" customFormat="1" x14ac:dyDescent="0.3">
      <c r="B17" s="18" t="s">
        <v>173</v>
      </c>
      <c r="C17" s="23" t="s">
        <v>12</v>
      </c>
      <c r="D17" s="46" t="str">
        <f t="shared" si="13"/>
        <v>KU Leuven</v>
      </c>
      <c r="E17" s="46" t="str">
        <f t="shared" si="14"/>
        <v>Belgium</v>
      </c>
      <c r="F17" s="32">
        <v>19</v>
      </c>
      <c r="G17" s="33">
        <f t="shared" si="15"/>
        <v>280</v>
      </c>
      <c r="H17" s="34">
        <f t="shared" si="16"/>
        <v>5320</v>
      </c>
      <c r="I17" s="32">
        <v>6</v>
      </c>
      <c r="J17" s="33">
        <f t="shared" si="17"/>
        <v>214</v>
      </c>
      <c r="K17" s="34">
        <f t="shared" si="18"/>
        <v>1284</v>
      </c>
      <c r="L17" s="32">
        <v>0</v>
      </c>
      <c r="M17" s="33">
        <f t="shared" si="19"/>
        <v>162</v>
      </c>
      <c r="N17" s="34">
        <f t="shared" si="20"/>
        <v>0</v>
      </c>
      <c r="O17" s="32">
        <v>10</v>
      </c>
      <c r="P17" s="33">
        <f t="shared" si="21"/>
        <v>131</v>
      </c>
      <c r="Q17" s="34">
        <f t="shared" si="22"/>
        <v>1310</v>
      </c>
      <c r="R17" s="35">
        <f t="shared" si="23"/>
        <v>35</v>
      </c>
      <c r="S17" s="36">
        <f t="shared" si="24"/>
        <v>7914</v>
      </c>
      <c r="T17" s="37" t="str">
        <f t="shared" si="25"/>
        <v/>
      </c>
    </row>
    <row r="18" spans="2:20" s="38" customFormat="1" x14ac:dyDescent="0.3">
      <c r="B18" s="18" t="s">
        <v>173</v>
      </c>
      <c r="C18" s="23" t="s">
        <v>13</v>
      </c>
      <c r="D18" s="46" t="str">
        <f t="shared" si="13"/>
        <v>IIT Bombay</v>
      </c>
      <c r="E18" s="46" t="str">
        <f t="shared" si="14"/>
        <v>India</v>
      </c>
      <c r="F18" s="32">
        <v>19</v>
      </c>
      <c r="G18" s="33">
        <f t="shared" si="15"/>
        <v>47</v>
      </c>
      <c r="H18" s="34">
        <f t="shared" si="16"/>
        <v>893</v>
      </c>
      <c r="I18" s="32">
        <v>6</v>
      </c>
      <c r="J18" s="33">
        <f t="shared" si="17"/>
        <v>33</v>
      </c>
      <c r="K18" s="34">
        <f t="shared" si="18"/>
        <v>198</v>
      </c>
      <c r="L18" s="32">
        <v>0</v>
      </c>
      <c r="M18" s="33">
        <f t="shared" si="19"/>
        <v>22</v>
      </c>
      <c r="N18" s="34">
        <f t="shared" si="20"/>
        <v>0</v>
      </c>
      <c r="O18" s="32">
        <v>10</v>
      </c>
      <c r="P18" s="33">
        <f t="shared" si="21"/>
        <v>17</v>
      </c>
      <c r="Q18" s="34">
        <f t="shared" si="22"/>
        <v>170</v>
      </c>
      <c r="R18" s="35">
        <f t="shared" si="23"/>
        <v>35</v>
      </c>
      <c r="S18" s="36">
        <f t="shared" si="24"/>
        <v>1261</v>
      </c>
      <c r="T18" s="37" t="str">
        <f t="shared" si="25"/>
        <v/>
      </c>
    </row>
    <row r="19" spans="2:20" s="38" customFormat="1" x14ac:dyDescent="0.3">
      <c r="B19" s="18" t="s">
        <v>173</v>
      </c>
      <c r="C19" s="23" t="s">
        <v>15</v>
      </c>
      <c r="D19" s="46" t="str">
        <f t="shared" si="13"/>
        <v>TUM</v>
      </c>
      <c r="E19" s="46" t="str">
        <f t="shared" si="14"/>
        <v>Denmark</v>
      </c>
      <c r="F19" s="32">
        <v>19</v>
      </c>
      <c r="G19" s="33">
        <f t="shared" si="15"/>
        <v>294</v>
      </c>
      <c r="H19" s="34">
        <f t="shared" si="16"/>
        <v>5586</v>
      </c>
      <c r="I19" s="32">
        <v>6</v>
      </c>
      <c r="J19" s="33">
        <f t="shared" si="17"/>
        <v>241</v>
      </c>
      <c r="K19" s="34">
        <f t="shared" si="18"/>
        <v>1446</v>
      </c>
      <c r="L19" s="32">
        <v>0</v>
      </c>
      <c r="M19" s="33">
        <f t="shared" si="19"/>
        <v>190</v>
      </c>
      <c r="N19" s="34">
        <f t="shared" si="20"/>
        <v>0</v>
      </c>
      <c r="O19" s="32">
        <v>10</v>
      </c>
      <c r="P19" s="33">
        <f t="shared" si="21"/>
        <v>157</v>
      </c>
      <c r="Q19" s="34">
        <f t="shared" si="22"/>
        <v>1570</v>
      </c>
      <c r="R19" s="35">
        <f t="shared" si="23"/>
        <v>35</v>
      </c>
      <c r="S19" s="36">
        <f t="shared" si="24"/>
        <v>8602</v>
      </c>
      <c r="T19" s="37" t="str">
        <f t="shared" si="25"/>
        <v/>
      </c>
    </row>
    <row r="20" spans="2:20" s="38" customFormat="1" x14ac:dyDescent="0.3">
      <c r="B20" s="18" t="s">
        <v>172</v>
      </c>
      <c r="C20" s="23" t="s">
        <v>8</v>
      </c>
      <c r="D20" s="46" t="str">
        <f t="shared" si="13"/>
        <v>DUNP</v>
      </c>
      <c r="E20" s="46" t="str">
        <f t="shared" si="14"/>
        <v>Serbia</v>
      </c>
      <c r="F20" s="32">
        <v>54</v>
      </c>
      <c r="G20" s="33">
        <f t="shared" si="15"/>
        <v>88</v>
      </c>
      <c r="H20" s="34">
        <f t="shared" si="16"/>
        <v>4752</v>
      </c>
      <c r="I20" s="32">
        <v>199</v>
      </c>
      <c r="J20" s="33">
        <f t="shared" si="17"/>
        <v>74</v>
      </c>
      <c r="K20" s="34">
        <f t="shared" si="18"/>
        <v>14726</v>
      </c>
      <c r="L20" s="32">
        <v>106</v>
      </c>
      <c r="M20" s="33">
        <f t="shared" si="19"/>
        <v>55</v>
      </c>
      <c r="N20" s="34">
        <f t="shared" si="20"/>
        <v>5830</v>
      </c>
      <c r="O20" s="32">
        <v>91</v>
      </c>
      <c r="P20" s="33">
        <f t="shared" si="21"/>
        <v>39</v>
      </c>
      <c r="Q20" s="34">
        <f t="shared" si="22"/>
        <v>3549</v>
      </c>
      <c r="R20" s="35">
        <f t="shared" si="23"/>
        <v>450</v>
      </c>
      <c r="S20" s="36">
        <f t="shared" si="24"/>
        <v>28857</v>
      </c>
      <c r="T20" s="37" t="str">
        <f t="shared" si="25"/>
        <v/>
      </c>
    </row>
    <row r="21" spans="2:20" s="38" customFormat="1" x14ac:dyDescent="0.3">
      <c r="B21" s="18" t="s">
        <v>172</v>
      </c>
      <c r="C21" s="23" t="s">
        <v>9</v>
      </c>
      <c r="D21" s="46" t="str">
        <f t="shared" si="13"/>
        <v>UNS</v>
      </c>
      <c r="E21" s="46" t="str">
        <f t="shared" si="14"/>
        <v>Serbia</v>
      </c>
      <c r="F21" s="32">
        <v>38</v>
      </c>
      <c r="G21" s="33">
        <f t="shared" si="15"/>
        <v>88</v>
      </c>
      <c r="H21" s="34">
        <f t="shared" si="16"/>
        <v>3344</v>
      </c>
      <c r="I21" s="32">
        <v>175</v>
      </c>
      <c r="J21" s="33">
        <f t="shared" si="17"/>
        <v>74</v>
      </c>
      <c r="K21" s="34">
        <f t="shared" si="18"/>
        <v>12950</v>
      </c>
      <c r="L21" s="32">
        <v>45</v>
      </c>
      <c r="M21" s="33">
        <f t="shared" si="19"/>
        <v>55</v>
      </c>
      <c r="N21" s="34">
        <f t="shared" si="20"/>
        <v>2475</v>
      </c>
      <c r="O21" s="32">
        <v>28</v>
      </c>
      <c r="P21" s="33">
        <f t="shared" si="21"/>
        <v>39</v>
      </c>
      <c r="Q21" s="34">
        <f t="shared" si="22"/>
        <v>1092</v>
      </c>
      <c r="R21" s="35">
        <f t="shared" si="23"/>
        <v>286</v>
      </c>
      <c r="S21" s="36">
        <f t="shared" si="24"/>
        <v>19861</v>
      </c>
      <c r="T21" s="37" t="str">
        <f t="shared" si="25"/>
        <v/>
      </c>
    </row>
    <row r="22" spans="2:20" s="38" customFormat="1" x14ac:dyDescent="0.3">
      <c r="B22" s="18" t="s">
        <v>172</v>
      </c>
      <c r="C22" s="23" t="s">
        <v>10</v>
      </c>
      <c r="D22" s="46" t="str">
        <f t="shared" si="13"/>
        <v>UNI</v>
      </c>
      <c r="E22" s="46" t="str">
        <f t="shared" si="14"/>
        <v>Serbia</v>
      </c>
      <c r="F22" s="32">
        <v>38</v>
      </c>
      <c r="G22" s="33">
        <f t="shared" si="15"/>
        <v>88</v>
      </c>
      <c r="H22" s="34">
        <f t="shared" si="16"/>
        <v>3344</v>
      </c>
      <c r="I22" s="32">
        <v>175</v>
      </c>
      <c r="J22" s="33">
        <f t="shared" si="17"/>
        <v>74</v>
      </c>
      <c r="K22" s="34">
        <f t="shared" si="18"/>
        <v>12950</v>
      </c>
      <c r="L22" s="32">
        <v>45</v>
      </c>
      <c r="M22" s="33">
        <f t="shared" si="19"/>
        <v>55</v>
      </c>
      <c r="N22" s="34">
        <f t="shared" si="20"/>
        <v>2475</v>
      </c>
      <c r="O22" s="32">
        <v>28</v>
      </c>
      <c r="P22" s="33">
        <f t="shared" si="21"/>
        <v>39</v>
      </c>
      <c r="Q22" s="34">
        <f t="shared" si="22"/>
        <v>1092</v>
      </c>
      <c r="R22" s="35">
        <f t="shared" si="23"/>
        <v>286</v>
      </c>
      <c r="S22" s="36">
        <f t="shared" si="24"/>
        <v>19861</v>
      </c>
      <c r="T22" s="37" t="str">
        <f t="shared" si="25"/>
        <v/>
      </c>
    </row>
    <row r="23" spans="2:20" s="38" customFormat="1" x14ac:dyDescent="0.3">
      <c r="B23" s="18" t="s">
        <v>172</v>
      </c>
      <c r="C23" s="23" t="s">
        <v>11</v>
      </c>
      <c r="D23" s="46" t="str">
        <f t="shared" si="13"/>
        <v>University of Cape Town</v>
      </c>
      <c r="E23" s="46" t="str">
        <f t="shared" si="14"/>
        <v>South Africa</v>
      </c>
      <c r="F23" s="32">
        <v>3</v>
      </c>
      <c r="G23" s="33">
        <f t="shared" si="15"/>
        <v>77</v>
      </c>
      <c r="H23" s="34">
        <f t="shared" si="16"/>
        <v>231</v>
      </c>
      <c r="I23" s="32">
        <v>10</v>
      </c>
      <c r="J23" s="33">
        <f t="shared" si="17"/>
        <v>57</v>
      </c>
      <c r="K23" s="34">
        <f t="shared" si="18"/>
        <v>570</v>
      </c>
      <c r="L23" s="32">
        <v>0</v>
      </c>
      <c r="M23" s="33">
        <f t="shared" si="19"/>
        <v>40</v>
      </c>
      <c r="N23" s="34">
        <f t="shared" si="20"/>
        <v>0</v>
      </c>
      <c r="O23" s="32">
        <v>6</v>
      </c>
      <c r="P23" s="33">
        <f t="shared" si="21"/>
        <v>32</v>
      </c>
      <c r="Q23" s="34">
        <f t="shared" si="22"/>
        <v>192</v>
      </c>
      <c r="R23" s="35">
        <f t="shared" si="23"/>
        <v>19</v>
      </c>
      <c r="S23" s="36">
        <f t="shared" si="24"/>
        <v>993</v>
      </c>
      <c r="T23" s="37" t="str">
        <f t="shared" si="25"/>
        <v/>
      </c>
    </row>
    <row r="24" spans="2:20" s="38" customFormat="1" x14ac:dyDescent="0.3">
      <c r="B24" s="18" t="s">
        <v>172</v>
      </c>
      <c r="C24" s="23" t="s">
        <v>12</v>
      </c>
      <c r="D24" s="46" t="str">
        <f t="shared" si="13"/>
        <v>KU Leuven</v>
      </c>
      <c r="E24" s="46" t="str">
        <f t="shared" si="14"/>
        <v>Belgium</v>
      </c>
      <c r="F24" s="32">
        <v>3</v>
      </c>
      <c r="G24" s="33">
        <f t="shared" si="15"/>
        <v>280</v>
      </c>
      <c r="H24" s="34">
        <f t="shared" si="16"/>
        <v>840</v>
      </c>
      <c r="I24" s="32">
        <v>10</v>
      </c>
      <c r="J24" s="33">
        <f t="shared" si="17"/>
        <v>214</v>
      </c>
      <c r="K24" s="34">
        <f t="shared" si="18"/>
        <v>2140</v>
      </c>
      <c r="L24" s="32">
        <v>0</v>
      </c>
      <c r="M24" s="33">
        <f t="shared" si="19"/>
        <v>162</v>
      </c>
      <c r="N24" s="34">
        <f t="shared" si="20"/>
        <v>0</v>
      </c>
      <c r="O24" s="32">
        <v>6</v>
      </c>
      <c r="P24" s="33">
        <f t="shared" si="21"/>
        <v>131</v>
      </c>
      <c r="Q24" s="34">
        <f t="shared" si="22"/>
        <v>786</v>
      </c>
      <c r="R24" s="35">
        <f t="shared" si="23"/>
        <v>19</v>
      </c>
      <c r="S24" s="36">
        <f t="shared" si="24"/>
        <v>3766</v>
      </c>
      <c r="T24" s="37" t="str">
        <f t="shared" si="25"/>
        <v/>
      </c>
    </row>
    <row r="25" spans="2:20" s="38" customFormat="1" x14ac:dyDescent="0.3">
      <c r="B25" s="18" t="s">
        <v>172</v>
      </c>
      <c r="C25" s="23" t="s">
        <v>13</v>
      </c>
      <c r="D25" s="46" t="str">
        <f t="shared" si="13"/>
        <v>IIT Bombay</v>
      </c>
      <c r="E25" s="46" t="str">
        <f t="shared" si="14"/>
        <v>India</v>
      </c>
      <c r="F25" s="32">
        <v>3</v>
      </c>
      <c r="G25" s="33">
        <f t="shared" si="15"/>
        <v>47</v>
      </c>
      <c r="H25" s="34">
        <f t="shared" si="16"/>
        <v>141</v>
      </c>
      <c r="I25" s="32">
        <v>10</v>
      </c>
      <c r="J25" s="33">
        <f t="shared" si="17"/>
        <v>33</v>
      </c>
      <c r="K25" s="34">
        <f t="shared" si="18"/>
        <v>330</v>
      </c>
      <c r="L25" s="32">
        <v>0</v>
      </c>
      <c r="M25" s="33">
        <f t="shared" si="19"/>
        <v>22</v>
      </c>
      <c r="N25" s="34">
        <f t="shared" si="20"/>
        <v>0</v>
      </c>
      <c r="O25" s="32">
        <v>6</v>
      </c>
      <c r="P25" s="33">
        <f t="shared" si="21"/>
        <v>17</v>
      </c>
      <c r="Q25" s="34">
        <f t="shared" si="22"/>
        <v>102</v>
      </c>
      <c r="R25" s="35">
        <f t="shared" si="23"/>
        <v>19</v>
      </c>
      <c r="S25" s="36">
        <f t="shared" si="24"/>
        <v>573</v>
      </c>
      <c r="T25" s="37" t="str">
        <f t="shared" si="25"/>
        <v/>
      </c>
    </row>
    <row r="26" spans="2:20" s="38" customFormat="1" x14ac:dyDescent="0.3">
      <c r="B26" s="18" t="s">
        <v>172</v>
      </c>
      <c r="C26" s="23" t="s">
        <v>14</v>
      </c>
      <c r="D26" s="46" t="str">
        <f t="shared" si="13"/>
        <v>Tsinghua University</v>
      </c>
      <c r="E26" s="46" t="str">
        <f t="shared" si="14"/>
        <v>China</v>
      </c>
      <c r="F26" s="32">
        <v>3</v>
      </c>
      <c r="G26" s="33">
        <f t="shared" si="15"/>
        <v>77</v>
      </c>
      <c r="H26" s="34">
        <f t="shared" si="16"/>
        <v>231</v>
      </c>
      <c r="I26" s="32">
        <v>10</v>
      </c>
      <c r="J26" s="33">
        <f t="shared" si="17"/>
        <v>57</v>
      </c>
      <c r="K26" s="34">
        <f t="shared" si="18"/>
        <v>570</v>
      </c>
      <c r="L26" s="32">
        <v>0</v>
      </c>
      <c r="M26" s="33">
        <f t="shared" si="19"/>
        <v>40</v>
      </c>
      <c r="N26" s="34">
        <f t="shared" si="20"/>
        <v>0</v>
      </c>
      <c r="O26" s="32">
        <v>6</v>
      </c>
      <c r="P26" s="33">
        <f t="shared" si="21"/>
        <v>32</v>
      </c>
      <c r="Q26" s="34">
        <f t="shared" si="22"/>
        <v>192</v>
      </c>
      <c r="R26" s="35">
        <f t="shared" si="23"/>
        <v>19</v>
      </c>
      <c r="S26" s="36">
        <f t="shared" si="24"/>
        <v>993</v>
      </c>
      <c r="T26" s="37" t="str">
        <f t="shared" si="25"/>
        <v/>
      </c>
    </row>
    <row r="27" spans="2:20" s="38" customFormat="1" x14ac:dyDescent="0.3">
      <c r="B27" s="18" t="s">
        <v>172</v>
      </c>
      <c r="C27" s="23" t="s">
        <v>15</v>
      </c>
      <c r="D27" s="46" t="str">
        <f t="shared" si="13"/>
        <v>TUM</v>
      </c>
      <c r="E27" s="46" t="str">
        <f t="shared" si="14"/>
        <v>Denmark</v>
      </c>
      <c r="F27" s="32">
        <v>3</v>
      </c>
      <c r="G27" s="33">
        <f t="shared" si="15"/>
        <v>294</v>
      </c>
      <c r="H27" s="34">
        <f t="shared" si="16"/>
        <v>882</v>
      </c>
      <c r="I27" s="32">
        <v>10</v>
      </c>
      <c r="J27" s="33">
        <f t="shared" si="17"/>
        <v>241</v>
      </c>
      <c r="K27" s="34">
        <f t="shared" si="18"/>
        <v>2410</v>
      </c>
      <c r="L27" s="32">
        <v>0</v>
      </c>
      <c r="M27" s="33">
        <f t="shared" si="19"/>
        <v>190</v>
      </c>
      <c r="N27" s="34">
        <f t="shared" si="20"/>
        <v>0</v>
      </c>
      <c r="O27" s="32">
        <v>6</v>
      </c>
      <c r="P27" s="33">
        <f t="shared" si="21"/>
        <v>157</v>
      </c>
      <c r="Q27" s="34">
        <f t="shared" si="22"/>
        <v>942</v>
      </c>
      <c r="R27" s="35">
        <f t="shared" si="23"/>
        <v>19</v>
      </c>
      <c r="S27" s="36">
        <f t="shared" si="24"/>
        <v>4234</v>
      </c>
      <c r="T27" s="37" t="str">
        <f t="shared" si="25"/>
        <v/>
      </c>
    </row>
    <row r="28" spans="2:20" s="38" customFormat="1" x14ac:dyDescent="0.3">
      <c r="B28" s="18" t="s">
        <v>318</v>
      </c>
      <c r="C28" s="23" t="s">
        <v>8</v>
      </c>
      <c r="D28" s="46" t="str">
        <f t="shared" si="13"/>
        <v>DUNP</v>
      </c>
      <c r="E28" s="46" t="str">
        <f t="shared" si="14"/>
        <v>Serbia</v>
      </c>
      <c r="F28" s="32">
        <v>90</v>
      </c>
      <c r="G28" s="33">
        <f t="shared" si="15"/>
        <v>88</v>
      </c>
      <c r="H28" s="34">
        <f t="shared" si="16"/>
        <v>7920</v>
      </c>
      <c r="I28" s="32">
        <v>0</v>
      </c>
      <c r="J28" s="33">
        <f t="shared" si="17"/>
        <v>74</v>
      </c>
      <c r="K28" s="34">
        <f t="shared" si="18"/>
        <v>0</v>
      </c>
      <c r="L28" s="32">
        <v>0</v>
      </c>
      <c r="M28" s="33">
        <f t="shared" si="19"/>
        <v>55</v>
      </c>
      <c r="N28" s="34">
        <f t="shared" si="20"/>
        <v>0</v>
      </c>
      <c r="O28" s="32">
        <v>0</v>
      </c>
      <c r="P28" s="33">
        <f t="shared" si="21"/>
        <v>39</v>
      </c>
      <c r="Q28" s="34">
        <f t="shared" si="22"/>
        <v>0</v>
      </c>
      <c r="R28" s="35">
        <f t="shared" si="23"/>
        <v>90</v>
      </c>
      <c r="S28" s="36">
        <f t="shared" si="24"/>
        <v>7920</v>
      </c>
      <c r="T28" s="37" t="str">
        <f t="shared" si="25"/>
        <v/>
      </c>
    </row>
    <row r="29" spans="2:20" s="38" customFormat="1" x14ac:dyDescent="0.3">
      <c r="B29" s="18" t="s">
        <v>318</v>
      </c>
      <c r="C29" s="23" t="s">
        <v>9</v>
      </c>
      <c r="D29" s="46" t="str">
        <f t="shared" si="13"/>
        <v>UNS</v>
      </c>
      <c r="E29" s="46" t="str">
        <f t="shared" si="14"/>
        <v>Serbia</v>
      </c>
      <c r="F29" s="32">
        <v>90</v>
      </c>
      <c r="G29" s="33">
        <f t="shared" si="15"/>
        <v>88</v>
      </c>
      <c r="H29" s="34">
        <f t="shared" si="16"/>
        <v>7920</v>
      </c>
      <c r="I29" s="32">
        <v>0</v>
      </c>
      <c r="J29" s="33">
        <f t="shared" si="17"/>
        <v>74</v>
      </c>
      <c r="K29" s="34">
        <f t="shared" si="18"/>
        <v>0</v>
      </c>
      <c r="L29" s="32">
        <v>0</v>
      </c>
      <c r="M29" s="33">
        <f t="shared" si="19"/>
        <v>55</v>
      </c>
      <c r="N29" s="34">
        <f t="shared" si="20"/>
        <v>0</v>
      </c>
      <c r="O29" s="32">
        <v>0</v>
      </c>
      <c r="P29" s="33">
        <f t="shared" si="21"/>
        <v>39</v>
      </c>
      <c r="Q29" s="34">
        <f t="shared" si="22"/>
        <v>0</v>
      </c>
      <c r="R29" s="35">
        <f t="shared" si="23"/>
        <v>90</v>
      </c>
      <c r="S29" s="36">
        <f t="shared" si="24"/>
        <v>7920</v>
      </c>
      <c r="T29" s="37" t="str">
        <f t="shared" si="25"/>
        <v/>
      </c>
    </row>
    <row r="30" spans="2:20" s="38" customFormat="1" x14ac:dyDescent="0.3">
      <c r="B30" s="18" t="s">
        <v>318</v>
      </c>
      <c r="C30" s="23" t="s">
        <v>10</v>
      </c>
      <c r="D30" s="46" t="str">
        <f t="shared" si="13"/>
        <v>UNI</v>
      </c>
      <c r="E30" s="46" t="str">
        <f t="shared" si="14"/>
        <v>Serbia</v>
      </c>
      <c r="F30" s="32">
        <v>90</v>
      </c>
      <c r="G30" s="33">
        <f t="shared" si="15"/>
        <v>88</v>
      </c>
      <c r="H30" s="34">
        <f t="shared" si="16"/>
        <v>7920</v>
      </c>
      <c r="I30" s="32">
        <v>0</v>
      </c>
      <c r="J30" s="33">
        <f t="shared" si="17"/>
        <v>74</v>
      </c>
      <c r="K30" s="34">
        <f t="shared" si="18"/>
        <v>0</v>
      </c>
      <c r="L30" s="32">
        <v>0</v>
      </c>
      <c r="M30" s="33">
        <f t="shared" si="19"/>
        <v>55</v>
      </c>
      <c r="N30" s="34">
        <f t="shared" si="20"/>
        <v>0</v>
      </c>
      <c r="O30" s="32">
        <v>0</v>
      </c>
      <c r="P30" s="33">
        <f t="shared" si="21"/>
        <v>39</v>
      </c>
      <c r="Q30" s="34">
        <f t="shared" si="22"/>
        <v>0</v>
      </c>
      <c r="R30" s="35">
        <f t="shared" si="23"/>
        <v>90</v>
      </c>
      <c r="S30" s="36">
        <f t="shared" si="24"/>
        <v>7920</v>
      </c>
      <c r="T30" s="37" t="str">
        <f t="shared" si="25"/>
        <v/>
      </c>
    </row>
    <row r="31" spans="2:20" s="38" customFormat="1" x14ac:dyDescent="0.3">
      <c r="B31" s="18" t="s">
        <v>318</v>
      </c>
      <c r="C31" s="23" t="s">
        <v>11</v>
      </c>
      <c r="D31" s="46" t="str">
        <f t="shared" si="13"/>
        <v>University of Cape Town</v>
      </c>
      <c r="E31" s="46" t="str">
        <f t="shared" si="14"/>
        <v>South Africa</v>
      </c>
      <c r="F31" s="32">
        <v>90</v>
      </c>
      <c r="G31" s="33">
        <f t="shared" si="15"/>
        <v>77</v>
      </c>
      <c r="H31" s="34">
        <f t="shared" si="16"/>
        <v>6930</v>
      </c>
      <c r="I31" s="32">
        <v>0</v>
      </c>
      <c r="J31" s="33">
        <f t="shared" si="17"/>
        <v>57</v>
      </c>
      <c r="K31" s="34">
        <f t="shared" si="18"/>
        <v>0</v>
      </c>
      <c r="L31" s="32">
        <v>0</v>
      </c>
      <c r="M31" s="33">
        <f t="shared" si="19"/>
        <v>40</v>
      </c>
      <c r="N31" s="34">
        <f t="shared" si="20"/>
        <v>0</v>
      </c>
      <c r="O31" s="32">
        <v>0</v>
      </c>
      <c r="P31" s="33">
        <f t="shared" si="21"/>
        <v>32</v>
      </c>
      <c r="Q31" s="34">
        <f t="shared" si="22"/>
        <v>0</v>
      </c>
      <c r="R31" s="35">
        <f t="shared" si="23"/>
        <v>90</v>
      </c>
      <c r="S31" s="36">
        <f t="shared" si="24"/>
        <v>6930</v>
      </c>
      <c r="T31" s="37" t="str">
        <f t="shared" si="25"/>
        <v/>
      </c>
    </row>
    <row r="32" spans="2:20" s="38" customFormat="1" x14ac:dyDescent="0.3">
      <c r="B32" s="18" t="s">
        <v>318</v>
      </c>
      <c r="C32" s="23" t="s">
        <v>12</v>
      </c>
      <c r="D32" s="46" t="str">
        <f t="shared" si="13"/>
        <v>KU Leuven</v>
      </c>
      <c r="E32" s="46" t="str">
        <f t="shared" si="14"/>
        <v>Belgium</v>
      </c>
      <c r="F32" s="32">
        <v>90</v>
      </c>
      <c r="G32" s="33">
        <f t="shared" si="15"/>
        <v>280</v>
      </c>
      <c r="H32" s="34">
        <f t="shared" si="16"/>
        <v>25200</v>
      </c>
      <c r="I32" s="32">
        <v>0</v>
      </c>
      <c r="J32" s="33">
        <f t="shared" si="17"/>
        <v>214</v>
      </c>
      <c r="K32" s="34">
        <f t="shared" si="18"/>
        <v>0</v>
      </c>
      <c r="L32" s="32">
        <v>0</v>
      </c>
      <c r="M32" s="33">
        <f t="shared" si="19"/>
        <v>162</v>
      </c>
      <c r="N32" s="34">
        <f t="shared" si="20"/>
        <v>0</v>
      </c>
      <c r="O32" s="32">
        <v>0</v>
      </c>
      <c r="P32" s="33">
        <f t="shared" si="21"/>
        <v>131</v>
      </c>
      <c r="Q32" s="34">
        <f t="shared" si="22"/>
        <v>0</v>
      </c>
      <c r="R32" s="35">
        <f t="shared" si="23"/>
        <v>90</v>
      </c>
      <c r="S32" s="36">
        <f t="shared" si="24"/>
        <v>25200</v>
      </c>
      <c r="T32" s="37" t="str">
        <f t="shared" si="25"/>
        <v/>
      </c>
    </row>
    <row r="33" spans="2:20" s="38" customFormat="1" x14ac:dyDescent="0.3">
      <c r="B33" s="18" t="s">
        <v>318</v>
      </c>
      <c r="C33" s="23" t="s">
        <v>13</v>
      </c>
      <c r="D33" s="46" t="str">
        <f t="shared" si="13"/>
        <v>IIT Bombay</v>
      </c>
      <c r="E33" s="46" t="str">
        <f t="shared" si="14"/>
        <v>India</v>
      </c>
      <c r="F33" s="32">
        <v>90</v>
      </c>
      <c r="G33" s="33">
        <f t="shared" si="15"/>
        <v>47</v>
      </c>
      <c r="H33" s="34">
        <f t="shared" si="16"/>
        <v>4230</v>
      </c>
      <c r="I33" s="32">
        <v>0</v>
      </c>
      <c r="J33" s="33">
        <f t="shared" si="17"/>
        <v>33</v>
      </c>
      <c r="K33" s="34">
        <f t="shared" si="18"/>
        <v>0</v>
      </c>
      <c r="L33" s="32">
        <v>0</v>
      </c>
      <c r="M33" s="33">
        <f t="shared" si="19"/>
        <v>22</v>
      </c>
      <c r="N33" s="34">
        <f t="shared" si="20"/>
        <v>0</v>
      </c>
      <c r="O33" s="32">
        <v>0</v>
      </c>
      <c r="P33" s="33">
        <f t="shared" si="21"/>
        <v>17</v>
      </c>
      <c r="Q33" s="34">
        <f t="shared" si="22"/>
        <v>0</v>
      </c>
      <c r="R33" s="35">
        <f t="shared" si="23"/>
        <v>90</v>
      </c>
      <c r="S33" s="36">
        <f t="shared" si="24"/>
        <v>4230</v>
      </c>
      <c r="T33" s="37" t="str">
        <f t="shared" si="25"/>
        <v/>
      </c>
    </row>
    <row r="34" spans="2:20" s="38" customFormat="1" x14ac:dyDescent="0.3">
      <c r="B34" s="18" t="s">
        <v>318</v>
      </c>
      <c r="C34" s="23" t="s">
        <v>14</v>
      </c>
      <c r="D34" s="46" t="str">
        <f t="shared" si="13"/>
        <v>Tsinghua University</v>
      </c>
      <c r="E34" s="46" t="str">
        <f t="shared" si="14"/>
        <v>China</v>
      </c>
      <c r="F34" s="32">
        <v>90</v>
      </c>
      <c r="G34" s="33">
        <f t="shared" si="15"/>
        <v>77</v>
      </c>
      <c r="H34" s="34">
        <f t="shared" si="16"/>
        <v>6930</v>
      </c>
      <c r="I34" s="32">
        <v>0</v>
      </c>
      <c r="J34" s="33">
        <f t="shared" si="17"/>
        <v>57</v>
      </c>
      <c r="K34" s="34">
        <f t="shared" si="18"/>
        <v>0</v>
      </c>
      <c r="L34" s="32">
        <v>0</v>
      </c>
      <c r="M34" s="33">
        <f t="shared" si="19"/>
        <v>40</v>
      </c>
      <c r="N34" s="34">
        <f t="shared" si="20"/>
        <v>0</v>
      </c>
      <c r="O34" s="32">
        <v>0</v>
      </c>
      <c r="P34" s="33">
        <f t="shared" si="21"/>
        <v>32</v>
      </c>
      <c r="Q34" s="34">
        <f t="shared" si="22"/>
        <v>0</v>
      </c>
      <c r="R34" s="35">
        <f t="shared" si="23"/>
        <v>90</v>
      </c>
      <c r="S34" s="36">
        <f t="shared" si="24"/>
        <v>6930</v>
      </c>
      <c r="T34" s="37" t="str">
        <f t="shared" si="25"/>
        <v/>
      </c>
    </row>
    <row r="35" spans="2:20" s="38" customFormat="1" x14ac:dyDescent="0.3">
      <c r="B35" s="18" t="s">
        <v>318</v>
      </c>
      <c r="C35" s="23" t="s">
        <v>15</v>
      </c>
      <c r="D35" s="46" t="str">
        <f t="shared" si="13"/>
        <v>TUM</v>
      </c>
      <c r="E35" s="46" t="str">
        <f t="shared" si="14"/>
        <v>Denmark</v>
      </c>
      <c r="F35" s="32">
        <v>90</v>
      </c>
      <c r="G35" s="33">
        <f t="shared" si="15"/>
        <v>294</v>
      </c>
      <c r="H35" s="34">
        <f t="shared" si="16"/>
        <v>26460</v>
      </c>
      <c r="I35" s="32">
        <v>0</v>
      </c>
      <c r="J35" s="33">
        <f t="shared" si="17"/>
        <v>241</v>
      </c>
      <c r="K35" s="34">
        <f t="shared" si="18"/>
        <v>0</v>
      </c>
      <c r="L35" s="32">
        <v>0</v>
      </c>
      <c r="M35" s="33">
        <f t="shared" si="19"/>
        <v>190</v>
      </c>
      <c r="N35" s="34">
        <f t="shared" si="20"/>
        <v>0</v>
      </c>
      <c r="O35" s="32">
        <v>0</v>
      </c>
      <c r="P35" s="33">
        <f t="shared" si="21"/>
        <v>157</v>
      </c>
      <c r="Q35" s="34">
        <f t="shared" si="22"/>
        <v>0</v>
      </c>
      <c r="R35" s="35">
        <f t="shared" si="23"/>
        <v>90</v>
      </c>
      <c r="S35" s="36">
        <f t="shared" si="24"/>
        <v>26460</v>
      </c>
      <c r="T35" s="37" t="str">
        <f t="shared" si="25"/>
        <v/>
      </c>
    </row>
    <row r="36" spans="2:20" s="38" customFormat="1" x14ac:dyDescent="0.3">
      <c r="B36" s="18" t="s">
        <v>319</v>
      </c>
      <c r="C36" s="23" t="s">
        <v>8</v>
      </c>
      <c r="D36" s="46" t="str">
        <f t="shared" si="13"/>
        <v>DUNP</v>
      </c>
      <c r="E36" s="46" t="str">
        <f t="shared" si="14"/>
        <v>Serbia</v>
      </c>
      <c r="F36" s="32">
        <v>0</v>
      </c>
      <c r="G36" s="33">
        <f t="shared" si="15"/>
        <v>88</v>
      </c>
      <c r="H36" s="34">
        <f t="shared" si="16"/>
        <v>0</v>
      </c>
      <c r="I36" s="32">
        <v>0</v>
      </c>
      <c r="J36" s="33">
        <f t="shared" si="17"/>
        <v>74</v>
      </c>
      <c r="K36" s="34">
        <f t="shared" si="18"/>
        <v>0</v>
      </c>
      <c r="L36" s="32">
        <v>6</v>
      </c>
      <c r="M36" s="33">
        <f t="shared" si="19"/>
        <v>55</v>
      </c>
      <c r="N36" s="34">
        <f t="shared" si="20"/>
        <v>330</v>
      </c>
      <c r="O36" s="32">
        <v>0</v>
      </c>
      <c r="P36" s="33">
        <f t="shared" si="21"/>
        <v>39</v>
      </c>
      <c r="Q36" s="34">
        <f t="shared" si="22"/>
        <v>0</v>
      </c>
      <c r="R36" s="35">
        <f t="shared" si="23"/>
        <v>6</v>
      </c>
      <c r="S36" s="36">
        <f t="shared" si="24"/>
        <v>330</v>
      </c>
      <c r="T36" s="37" t="str">
        <f t="shared" si="25"/>
        <v/>
      </c>
    </row>
    <row r="37" spans="2:20" s="38" customFormat="1" x14ac:dyDescent="0.3">
      <c r="B37" s="18" t="s">
        <v>319</v>
      </c>
      <c r="C37" s="23" t="s">
        <v>9</v>
      </c>
      <c r="D37" s="46" t="str">
        <f t="shared" si="13"/>
        <v>UNS</v>
      </c>
      <c r="E37" s="46" t="str">
        <f t="shared" si="14"/>
        <v>Serbia</v>
      </c>
      <c r="F37" s="32">
        <v>0</v>
      </c>
      <c r="G37" s="33">
        <f t="shared" si="15"/>
        <v>88</v>
      </c>
      <c r="H37" s="34">
        <f t="shared" si="16"/>
        <v>0</v>
      </c>
      <c r="I37" s="32">
        <v>0</v>
      </c>
      <c r="J37" s="33">
        <f t="shared" si="17"/>
        <v>74</v>
      </c>
      <c r="K37" s="34">
        <f t="shared" si="18"/>
        <v>0</v>
      </c>
      <c r="L37" s="32">
        <v>6</v>
      </c>
      <c r="M37" s="33">
        <f t="shared" si="19"/>
        <v>55</v>
      </c>
      <c r="N37" s="34">
        <f t="shared" si="20"/>
        <v>330</v>
      </c>
      <c r="O37" s="32">
        <v>0</v>
      </c>
      <c r="P37" s="33">
        <f t="shared" si="21"/>
        <v>39</v>
      </c>
      <c r="Q37" s="34">
        <f t="shared" si="22"/>
        <v>0</v>
      </c>
      <c r="R37" s="35">
        <f t="shared" si="23"/>
        <v>6</v>
      </c>
      <c r="S37" s="36">
        <f t="shared" si="24"/>
        <v>330</v>
      </c>
      <c r="T37" s="37" t="str">
        <f t="shared" si="25"/>
        <v/>
      </c>
    </row>
    <row r="38" spans="2:20" s="38" customFormat="1" x14ac:dyDescent="0.3">
      <c r="B38" s="18" t="s">
        <v>319</v>
      </c>
      <c r="C38" s="23" t="s">
        <v>10</v>
      </c>
      <c r="D38" s="46" t="str">
        <f t="shared" si="13"/>
        <v>UNI</v>
      </c>
      <c r="E38" s="46" t="str">
        <f t="shared" si="14"/>
        <v>Serbia</v>
      </c>
      <c r="F38" s="32">
        <v>0</v>
      </c>
      <c r="G38" s="33">
        <f t="shared" si="15"/>
        <v>88</v>
      </c>
      <c r="H38" s="34">
        <f t="shared" si="16"/>
        <v>0</v>
      </c>
      <c r="I38" s="32">
        <v>75</v>
      </c>
      <c r="J38" s="33">
        <f t="shared" si="17"/>
        <v>74</v>
      </c>
      <c r="K38" s="34">
        <f t="shared" si="18"/>
        <v>5550</v>
      </c>
      <c r="L38" s="32">
        <v>20</v>
      </c>
      <c r="M38" s="33">
        <f t="shared" si="19"/>
        <v>55</v>
      </c>
      <c r="N38" s="34">
        <f t="shared" si="20"/>
        <v>1100</v>
      </c>
      <c r="O38" s="32">
        <v>0</v>
      </c>
      <c r="P38" s="33">
        <f t="shared" si="21"/>
        <v>39</v>
      </c>
      <c r="Q38" s="34">
        <f t="shared" si="22"/>
        <v>0</v>
      </c>
      <c r="R38" s="35">
        <f t="shared" si="23"/>
        <v>95</v>
      </c>
      <c r="S38" s="36">
        <f t="shared" si="24"/>
        <v>6650</v>
      </c>
      <c r="T38" s="37" t="str">
        <f t="shared" si="25"/>
        <v/>
      </c>
    </row>
    <row r="39" spans="2:20" s="38" customFormat="1" x14ac:dyDescent="0.3">
      <c r="B39" s="18" t="s">
        <v>174</v>
      </c>
      <c r="C39" s="23" t="s">
        <v>8</v>
      </c>
      <c r="D39" s="46" t="str">
        <f t="shared" si="13"/>
        <v>DUNP</v>
      </c>
      <c r="E39" s="46" t="str">
        <f t="shared" si="14"/>
        <v>Serbia</v>
      </c>
      <c r="F39" s="32">
        <v>20</v>
      </c>
      <c r="G39" s="33">
        <f t="shared" si="15"/>
        <v>88</v>
      </c>
      <c r="H39" s="34">
        <f t="shared" si="16"/>
        <v>1760</v>
      </c>
      <c r="I39" s="32">
        <v>0</v>
      </c>
      <c r="J39" s="33">
        <f t="shared" si="17"/>
        <v>74</v>
      </c>
      <c r="K39" s="34">
        <f t="shared" si="18"/>
        <v>0</v>
      </c>
      <c r="L39" s="32">
        <v>0</v>
      </c>
      <c r="M39" s="33">
        <f t="shared" si="19"/>
        <v>55</v>
      </c>
      <c r="N39" s="34">
        <f t="shared" si="20"/>
        <v>0</v>
      </c>
      <c r="O39" s="32">
        <v>0</v>
      </c>
      <c r="P39" s="33">
        <f t="shared" si="21"/>
        <v>39</v>
      </c>
      <c r="Q39" s="34">
        <f t="shared" si="22"/>
        <v>0</v>
      </c>
      <c r="R39" s="35">
        <f t="shared" si="23"/>
        <v>20</v>
      </c>
      <c r="S39" s="36">
        <f t="shared" si="24"/>
        <v>1760</v>
      </c>
      <c r="T39" s="37" t="str">
        <f t="shared" si="25"/>
        <v/>
      </c>
    </row>
    <row r="40" spans="2:20" s="38" customFormat="1" x14ac:dyDescent="0.3">
      <c r="B40" s="18" t="s">
        <v>174</v>
      </c>
      <c r="C40" s="23" t="s">
        <v>9</v>
      </c>
      <c r="D40" s="46" t="str">
        <f t="shared" si="13"/>
        <v>UNS</v>
      </c>
      <c r="E40" s="46" t="str">
        <f t="shared" si="14"/>
        <v>Serbia</v>
      </c>
      <c r="F40" s="32">
        <v>20</v>
      </c>
      <c r="G40" s="33">
        <f t="shared" si="15"/>
        <v>88</v>
      </c>
      <c r="H40" s="34">
        <f t="shared" si="16"/>
        <v>1760</v>
      </c>
      <c r="I40" s="32">
        <v>0</v>
      </c>
      <c r="J40" s="33">
        <f t="shared" si="17"/>
        <v>74</v>
      </c>
      <c r="K40" s="34">
        <f t="shared" si="18"/>
        <v>0</v>
      </c>
      <c r="L40" s="32">
        <v>0</v>
      </c>
      <c r="M40" s="33">
        <f t="shared" si="19"/>
        <v>55</v>
      </c>
      <c r="N40" s="34">
        <f t="shared" si="20"/>
        <v>0</v>
      </c>
      <c r="O40" s="32">
        <v>0</v>
      </c>
      <c r="P40" s="33">
        <f t="shared" si="21"/>
        <v>39</v>
      </c>
      <c r="Q40" s="34">
        <f t="shared" si="22"/>
        <v>0</v>
      </c>
      <c r="R40" s="35">
        <f t="shared" si="23"/>
        <v>20</v>
      </c>
      <c r="S40" s="36">
        <f t="shared" si="24"/>
        <v>1760</v>
      </c>
      <c r="T40" s="37" t="str">
        <f t="shared" si="25"/>
        <v/>
      </c>
    </row>
    <row r="41" spans="2:20" s="38" customFormat="1" x14ac:dyDescent="0.3">
      <c r="B41" s="18" t="s">
        <v>174</v>
      </c>
      <c r="C41" s="23" t="s">
        <v>10</v>
      </c>
      <c r="D41" s="46" t="str">
        <f t="shared" si="13"/>
        <v>UNI</v>
      </c>
      <c r="E41" s="46" t="str">
        <f t="shared" si="14"/>
        <v>Serbia</v>
      </c>
      <c r="F41" s="32">
        <v>20</v>
      </c>
      <c r="G41" s="33">
        <f t="shared" si="15"/>
        <v>88</v>
      </c>
      <c r="H41" s="34">
        <f t="shared" si="16"/>
        <v>1760</v>
      </c>
      <c r="I41" s="32">
        <v>0</v>
      </c>
      <c r="J41" s="33">
        <f t="shared" si="17"/>
        <v>74</v>
      </c>
      <c r="K41" s="34">
        <f t="shared" si="18"/>
        <v>0</v>
      </c>
      <c r="L41" s="32">
        <v>0</v>
      </c>
      <c r="M41" s="33">
        <f t="shared" si="19"/>
        <v>55</v>
      </c>
      <c r="N41" s="34">
        <f t="shared" si="20"/>
        <v>0</v>
      </c>
      <c r="O41" s="32">
        <v>0</v>
      </c>
      <c r="P41" s="33">
        <f t="shared" si="21"/>
        <v>39</v>
      </c>
      <c r="Q41" s="34">
        <f t="shared" si="22"/>
        <v>0</v>
      </c>
      <c r="R41" s="35">
        <f t="shared" si="23"/>
        <v>20</v>
      </c>
      <c r="S41" s="36">
        <f t="shared" si="24"/>
        <v>1760</v>
      </c>
      <c r="T41" s="37" t="str">
        <f t="shared" si="25"/>
        <v/>
      </c>
    </row>
    <row r="42" spans="2:20" s="38" customFormat="1" x14ac:dyDescent="0.3">
      <c r="B42" s="18" t="s">
        <v>174</v>
      </c>
      <c r="C42" s="23" t="s">
        <v>11</v>
      </c>
      <c r="D42" s="46" t="str">
        <f t="shared" si="13"/>
        <v>University of Cape Town</v>
      </c>
      <c r="E42" s="46" t="str">
        <f t="shared" si="14"/>
        <v>South Africa</v>
      </c>
      <c r="F42" s="32">
        <v>0</v>
      </c>
      <c r="G42" s="33">
        <f t="shared" si="15"/>
        <v>77</v>
      </c>
      <c r="H42" s="34">
        <f t="shared" si="16"/>
        <v>0</v>
      </c>
      <c r="I42" s="32">
        <v>0</v>
      </c>
      <c r="J42" s="33">
        <f t="shared" si="17"/>
        <v>57</v>
      </c>
      <c r="K42" s="34">
        <f t="shared" si="18"/>
        <v>0</v>
      </c>
      <c r="L42" s="32">
        <v>0</v>
      </c>
      <c r="M42" s="33">
        <f t="shared" si="19"/>
        <v>40</v>
      </c>
      <c r="N42" s="34">
        <f t="shared" si="20"/>
        <v>0</v>
      </c>
      <c r="O42" s="32">
        <v>10</v>
      </c>
      <c r="P42" s="33">
        <f t="shared" si="21"/>
        <v>32</v>
      </c>
      <c r="Q42" s="34">
        <f t="shared" si="22"/>
        <v>320</v>
      </c>
      <c r="R42" s="35">
        <f t="shared" si="23"/>
        <v>10</v>
      </c>
      <c r="S42" s="36">
        <f t="shared" si="24"/>
        <v>320</v>
      </c>
      <c r="T42" s="37" t="str">
        <f t="shared" si="25"/>
        <v/>
      </c>
    </row>
    <row r="43" spans="2:20" s="38" customFormat="1" x14ac:dyDescent="0.3">
      <c r="B43" s="18" t="s">
        <v>174</v>
      </c>
      <c r="C43" s="23" t="s">
        <v>12</v>
      </c>
      <c r="D43" s="46" t="str">
        <f t="shared" si="13"/>
        <v>KU Leuven</v>
      </c>
      <c r="E43" s="46" t="str">
        <f t="shared" si="14"/>
        <v>Belgium</v>
      </c>
      <c r="F43" s="32">
        <v>0</v>
      </c>
      <c r="G43" s="33">
        <f t="shared" si="15"/>
        <v>280</v>
      </c>
      <c r="H43" s="34">
        <f t="shared" si="16"/>
        <v>0</v>
      </c>
      <c r="I43" s="32">
        <v>0</v>
      </c>
      <c r="J43" s="33">
        <f t="shared" si="17"/>
        <v>214</v>
      </c>
      <c r="K43" s="34">
        <f t="shared" si="18"/>
        <v>0</v>
      </c>
      <c r="L43" s="32">
        <v>0</v>
      </c>
      <c r="M43" s="33">
        <f t="shared" si="19"/>
        <v>162</v>
      </c>
      <c r="N43" s="34">
        <f t="shared" si="20"/>
        <v>0</v>
      </c>
      <c r="O43" s="32">
        <v>10</v>
      </c>
      <c r="P43" s="33">
        <f t="shared" si="21"/>
        <v>131</v>
      </c>
      <c r="Q43" s="34">
        <f t="shared" si="22"/>
        <v>1310</v>
      </c>
      <c r="R43" s="35">
        <f t="shared" si="23"/>
        <v>10</v>
      </c>
      <c r="S43" s="36">
        <f t="shared" si="24"/>
        <v>1310</v>
      </c>
      <c r="T43" s="37" t="str">
        <f t="shared" si="25"/>
        <v/>
      </c>
    </row>
    <row r="44" spans="2:20" s="38" customFormat="1" x14ac:dyDescent="0.3">
      <c r="B44" s="18" t="s">
        <v>174</v>
      </c>
      <c r="C44" s="23" t="s">
        <v>13</v>
      </c>
      <c r="D44" s="46" t="str">
        <f t="shared" si="13"/>
        <v>IIT Bombay</v>
      </c>
      <c r="E44" s="46" t="str">
        <f t="shared" si="14"/>
        <v>India</v>
      </c>
      <c r="F44" s="32">
        <v>0</v>
      </c>
      <c r="G44" s="33">
        <f t="shared" si="15"/>
        <v>47</v>
      </c>
      <c r="H44" s="34">
        <f t="shared" si="16"/>
        <v>0</v>
      </c>
      <c r="I44" s="32">
        <v>0</v>
      </c>
      <c r="J44" s="33">
        <f t="shared" si="17"/>
        <v>33</v>
      </c>
      <c r="K44" s="34">
        <f t="shared" si="18"/>
        <v>0</v>
      </c>
      <c r="L44" s="32">
        <v>0</v>
      </c>
      <c r="M44" s="33">
        <f t="shared" si="19"/>
        <v>22</v>
      </c>
      <c r="N44" s="34">
        <f t="shared" si="20"/>
        <v>0</v>
      </c>
      <c r="O44" s="32">
        <v>10</v>
      </c>
      <c r="P44" s="33">
        <f t="shared" si="21"/>
        <v>17</v>
      </c>
      <c r="Q44" s="34">
        <f t="shared" si="22"/>
        <v>170</v>
      </c>
      <c r="R44" s="35">
        <f t="shared" si="23"/>
        <v>10</v>
      </c>
      <c r="S44" s="36">
        <f t="shared" si="24"/>
        <v>170</v>
      </c>
      <c r="T44" s="37" t="str">
        <f t="shared" si="25"/>
        <v/>
      </c>
    </row>
    <row r="45" spans="2:20" s="38" customFormat="1" x14ac:dyDescent="0.3">
      <c r="B45" s="18" t="s">
        <v>174</v>
      </c>
      <c r="C45" s="23" t="s">
        <v>14</v>
      </c>
      <c r="D45" s="46" t="str">
        <f t="shared" si="13"/>
        <v>Tsinghua University</v>
      </c>
      <c r="E45" s="46" t="str">
        <f t="shared" si="14"/>
        <v>China</v>
      </c>
      <c r="F45" s="32">
        <v>0</v>
      </c>
      <c r="G45" s="33">
        <f t="shared" si="15"/>
        <v>77</v>
      </c>
      <c r="H45" s="34">
        <f t="shared" si="16"/>
        <v>0</v>
      </c>
      <c r="I45" s="32">
        <v>0</v>
      </c>
      <c r="J45" s="33">
        <f t="shared" si="17"/>
        <v>57</v>
      </c>
      <c r="K45" s="34">
        <f t="shared" si="18"/>
        <v>0</v>
      </c>
      <c r="L45" s="32">
        <v>0</v>
      </c>
      <c r="M45" s="33">
        <f t="shared" si="19"/>
        <v>40</v>
      </c>
      <c r="N45" s="34">
        <f t="shared" si="20"/>
        <v>0</v>
      </c>
      <c r="O45" s="32">
        <v>10</v>
      </c>
      <c r="P45" s="33">
        <f t="shared" si="21"/>
        <v>32</v>
      </c>
      <c r="Q45" s="34">
        <f t="shared" si="22"/>
        <v>320</v>
      </c>
      <c r="R45" s="35">
        <f t="shared" si="23"/>
        <v>10</v>
      </c>
      <c r="S45" s="36">
        <f t="shared" si="24"/>
        <v>320</v>
      </c>
      <c r="T45" s="37" t="str">
        <f t="shared" si="25"/>
        <v/>
      </c>
    </row>
    <row r="46" spans="2:20" s="38" customFormat="1" x14ac:dyDescent="0.3">
      <c r="B46" s="18" t="s">
        <v>174</v>
      </c>
      <c r="C46" s="23" t="s">
        <v>15</v>
      </c>
      <c r="D46" s="46" t="str">
        <f t="shared" si="13"/>
        <v>TUM</v>
      </c>
      <c r="E46" s="46" t="str">
        <f t="shared" si="14"/>
        <v>Denmark</v>
      </c>
      <c r="F46" s="32">
        <v>0</v>
      </c>
      <c r="G46" s="33">
        <f t="shared" si="15"/>
        <v>294</v>
      </c>
      <c r="H46" s="34">
        <f t="shared" si="16"/>
        <v>0</v>
      </c>
      <c r="I46" s="32">
        <v>0</v>
      </c>
      <c r="J46" s="33">
        <f t="shared" si="17"/>
        <v>241</v>
      </c>
      <c r="K46" s="34">
        <f t="shared" si="18"/>
        <v>0</v>
      </c>
      <c r="L46" s="32">
        <v>0</v>
      </c>
      <c r="M46" s="33">
        <f t="shared" si="19"/>
        <v>190</v>
      </c>
      <c r="N46" s="34">
        <f t="shared" si="20"/>
        <v>0</v>
      </c>
      <c r="O46" s="32">
        <v>10</v>
      </c>
      <c r="P46" s="33">
        <f t="shared" si="21"/>
        <v>157</v>
      </c>
      <c r="Q46" s="34">
        <f t="shared" si="22"/>
        <v>1570</v>
      </c>
      <c r="R46" s="35">
        <f t="shared" si="23"/>
        <v>10</v>
      </c>
      <c r="S46" s="36">
        <f t="shared" si="24"/>
        <v>1570</v>
      </c>
      <c r="T46" s="37" t="str">
        <f t="shared" si="25"/>
        <v/>
      </c>
    </row>
  </sheetData>
  <sheetProtection algorithmName="SHA-512" hashValue="xvUQ35Dhf29wujvoqcSagNzIz6MWG0E2ycFE+yw6Ohbl7432YLYSOInVHhsAeIjYjPdrq/qv9H/elgqeMAwk8Q==" saltValue="KFNM8KL0UTiE/l3Hs+ETpw=="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535" priority="1103" operator="containsText" text="Error">
      <formula>NOT(ISERROR(SEARCH("Error",T13)))</formula>
    </cfRule>
  </conditionalFormatting>
  <conditionalFormatting sqref="D13:E14">
    <cfRule type="containsBlanks" dxfId="534" priority="1099">
      <formula>LEN(TRIM(D13))=0</formula>
    </cfRule>
  </conditionalFormatting>
  <conditionalFormatting sqref="F14 I14 L14 O14">
    <cfRule type="expression" dxfId="533" priority="470">
      <formula>ISNUMBER(F14)=FALSE</formula>
    </cfRule>
  </conditionalFormatting>
  <conditionalFormatting sqref="F13 I13 L13 O13">
    <cfRule type="expression" dxfId="532" priority="469">
      <formula>ISNUMBER(F13)=FALSE</formula>
    </cfRule>
  </conditionalFormatting>
  <conditionalFormatting sqref="B13:C13">
    <cfRule type="containsBlanks" dxfId="531" priority="462">
      <formula>LEN(TRIM(B13))=0</formula>
    </cfRule>
  </conditionalFormatting>
  <conditionalFormatting sqref="B14:C14">
    <cfRule type="containsBlanks" dxfId="530" priority="461">
      <formula>LEN(TRIM(B14))=0</formula>
    </cfRule>
  </conditionalFormatting>
  <conditionalFormatting sqref="T15">
    <cfRule type="containsText" dxfId="529" priority="164" operator="containsText" text="Error">
      <formula>NOT(ISERROR(SEARCH("Error",T15)))</formula>
    </cfRule>
  </conditionalFormatting>
  <conditionalFormatting sqref="D15:E15">
    <cfRule type="containsBlanks" dxfId="528" priority="163">
      <formula>LEN(TRIM(D15))=0</formula>
    </cfRule>
  </conditionalFormatting>
  <conditionalFormatting sqref="F15 I15 L15 O15">
    <cfRule type="expression" dxfId="527" priority="162">
      <formula>ISNUMBER(F15)=FALSE</formula>
    </cfRule>
  </conditionalFormatting>
  <conditionalFormatting sqref="B15:C15">
    <cfRule type="containsBlanks" dxfId="526" priority="161">
      <formula>LEN(TRIM(B15))=0</formula>
    </cfRule>
  </conditionalFormatting>
  <conditionalFormatting sqref="T16">
    <cfRule type="containsText" dxfId="525" priority="152" operator="containsText" text="Error">
      <formula>NOT(ISERROR(SEARCH("Error",T16)))</formula>
    </cfRule>
  </conditionalFormatting>
  <conditionalFormatting sqref="D16:E16">
    <cfRule type="containsBlanks" dxfId="524" priority="151">
      <formula>LEN(TRIM(D16))=0</formula>
    </cfRule>
  </conditionalFormatting>
  <conditionalFormatting sqref="F16 I16 L16 O16">
    <cfRule type="expression" dxfId="523" priority="150">
      <formula>ISNUMBER(F16)=FALSE</formula>
    </cfRule>
  </conditionalFormatting>
  <conditionalFormatting sqref="B16:C16">
    <cfRule type="containsBlanks" dxfId="522" priority="149">
      <formula>LEN(TRIM(B16))=0</formula>
    </cfRule>
  </conditionalFormatting>
  <conditionalFormatting sqref="T17">
    <cfRule type="containsText" dxfId="521" priority="132" operator="containsText" text="Error">
      <formula>NOT(ISERROR(SEARCH("Error",T17)))</formula>
    </cfRule>
  </conditionalFormatting>
  <conditionalFormatting sqref="D17:E17">
    <cfRule type="containsBlanks" dxfId="520" priority="131">
      <formula>LEN(TRIM(D17))=0</formula>
    </cfRule>
  </conditionalFormatting>
  <conditionalFormatting sqref="F17 I17 L17 O17">
    <cfRule type="expression" dxfId="519" priority="130">
      <formula>ISNUMBER(F17)=FALSE</formula>
    </cfRule>
  </conditionalFormatting>
  <conditionalFormatting sqref="B17:C17">
    <cfRule type="containsBlanks" dxfId="518" priority="129">
      <formula>LEN(TRIM(B17))=0</formula>
    </cfRule>
  </conditionalFormatting>
  <conditionalFormatting sqref="T18">
    <cfRule type="containsText" dxfId="517" priority="128" operator="containsText" text="Error">
      <formula>NOT(ISERROR(SEARCH("Error",T18)))</formula>
    </cfRule>
  </conditionalFormatting>
  <conditionalFormatting sqref="D18:E18">
    <cfRule type="containsBlanks" dxfId="516" priority="127">
      <formula>LEN(TRIM(D18))=0</formula>
    </cfRule>
  </conditionalFormatting>
  <conditionalFormatting sqref="F18 I18 L18 O18">
    <cfRule type="expression" dxfId="515" priority="126">
      <formula>ISNUMBER(F18)=FALSE</formula>
    </cfRule>
  </conditionalFormatting>
  <conditionalFormatting sqref="B18:C18">
    <cfRule type="containsBlanks" dxfId="514" priority="125">
      <formula>LEN(TRIM(B18))=0</formula>
    </cfRule>
  </conditionalFormatting>
  <conditionalFormatting sqref="T19">
    <cfRule type="containsText" dxfId="513" priority="124" operator="containsText" text="Error">
      <formula>NOT(ISERROR(SEARCH("Error",T19)))</formula>
    </cfRule>
  </conditionalFormatting>
  <conditionalFormatting sqref="D19:E19">
    <cfRule type="containsBlanks" dxfId="512" priority="123">
      <formula>LEN(TRIM(D19))=0</formula>
    </cfRule>
  </conditionalFormatting>
  <conditionalFormatting sqref="F19 I19 L19 O19">
    <cfRule type="expression" dxfId="511" priority="122">
      <formula>ISNUMBER(F19)=FALSE</formula>
    </cfRule>
  </conditionalFormatting>
  <conditionalFormatting sqref="B19:C19">
    <cfRule type="containsBlanks" dxfId="510" priority="121">
      <formula>LEN(TRIM(B19))=0</formula>
    </cfRule>
  </conditionalFormatting>
  <conditionalFormatting sqref="T20">
    <cfRule type="containsText" dxfId="509" priority="120" operator="containsText" text="Error">
      <formula>NOT(ISERROR(SEARCH("Error",T20)))</formula>
    </cfRule>
  </conditionalFormatting>
  <conditionalFormatting sqref="D20:E20">
    <cfRule type="containsBlanks" dxfId="508" priority="119">
      <formula>LEN(TRIM(D20))=0</formula>
    </cfRule>
  </conditionalFormatting>
  <conditionalFormatting sqref="F20 I20 L20 O20">
    <cfRule type="expression" dxfId="507" priority="118">
      <formula>ISNUMBER(F20)=FALSE</formula>
    </cfRule>
  </conditionalFormatting>
  <conditionalFormatting sqref="B20:C20">
    <cfRule type="containsBlanks" dxfId="506" priority="117">
      <formula>LEN(TRIM(B20))=0</formula>
    </cfRule>
  </conditionalFormatting>
  <conditionalFormatting sqref="T21">
    <cfRule type="containsText" dxfId="505" priority="104" operator="containsText" text="Error">
      <formula>NOT(ISERROR(SEARCH("Error",T21)))</formula>
    </cfRule>
  </conditionalFormatting>
  <conditionalFormatting sqref="D21:E21">
    <cfRule type="containsBlanks" dxfId="504" priority="103">
      <formula>LEN(TRIM(D21))=0</formula>
    </cfRule>
  </conditionalFormatting>
  <conditionalFormatting sqref="F21 I21 L21 O21">
    <cfRule type="expression" dxfId="503" priority="102">
      <formula>ISNUMBER(F21)=FALSE</formula>
    </cfRule>
  </conditionalFormatting>
  <conditionalFormatting sqref="B21:C21">
    <cfRule type="containsBlanks" dxfId="502" priority="101">
      <formula>LEN(TRIM(B21))=0</formula>
    </cfRule>
  </conditionalFormatting>
  <conditionalFormatting sqref="T22">
    <cfRule type="containsText" dxfId="501" priority="100" operator="containsText" text="Error">
      <formula>NOT(ISERROR(SEARCH("Error",T22)))</formula>
    </cfRule>
  </conditionalFormatting>
  <conditionalFormatting sqref="D22:E22">
    <cfRule type="containsBlanks" dxfId="500" priority="99">
      <formula>LEN(TRIM(D22))=0</formula>
    </cfRule>
  </conditionalFormatting>
  <conditionalFormatting sqref="F22 I22 L22 O22">
    <cfRule type="expression" dxfId="499" priority="98">
      <formula>ISNUMBER(F22)=FALSE</formula>
    </cfRule>
  </conditionalFormatting>
  <conditionalFormatting sqref="B22:C22">
    <cfRule type="containsBlanks" dxfId="498" priority="97">
      <formula>LEN(TRIM(B22))=0</formula>
    </cfRule>
  </conditionalFormatting>
  <conditionalFormatting sqref="T23">
    <cfRule type="containsText" dxfId="497" priority="96" operator="containsText" text="Error">
      <formula>NOT(ISERROR(SEARCH("Error",T23)))</formula>
    </cfRule>
  </conditionalFormatting>
  <conditionalFormatting sqref="D23:E23">
    <cfRule type="containsBlanks" dxfId="496" priority="95">
      <formula>LEN(TRIM(D23))=0</formula>
    </cfRule>
  </conditionalFormatting>
  <conditionalFormatting sqref="F23 I23 L23 O23">
    <cfRule type="expression" dxfId="495" priority="94">
      <formula>ISNUMBER(F23)=FALSE</formula>
    </cfRule>
  </conditionalFormatting>
  <conditionalFormatting sqref="B23:C23">
    <cfRule type="containsBlanks" dxfId="494" priority="93">
      <formula>LEN(TRIM(B23))=0</formula>
    </cfRule>
  </conditionalFormatting>
  <conditionalFormatting sqref="T24">
    <cfRule type="containsText" dxfId="493" priority="92" operator="containsText" text="Error">
      <formula>NOT(ISERROR(SEARCH("Error",T24)))</formula>
    </cfRule>
  </conditionalFormatting>
  <conditionalFormatting sqref="D24:E24">
    <cfRule type="containsBlanks" dxfId="492" priority="91">
      <formula>LEN(TRIM(D24))=0</formula>
    </cfRule>
  </conditionalFormatting>
  <conditionalFormatting sqref="F24 I24 L24 O24">
    <cfRule type="expression" dxfId="491" priority="90">
      <formula>ISNUMBER(F24)=FALSE</formula>
    </cfRule>
  </conditionalFormatting>
  <conditionalFormatting sqref="B24:C24">
    <cfRule type="containsBlanks" dxfId="490" priority="89">
      <formula>LEN(TRIM(B24))=0</formula>
    </cfRule>
  </conditionalFormatting>
  <conditionalFormatting sqref="T25">
    <cfRule type="containsText" dxfId="489" priority="88" operator="containsText" text="Error">
      <formula>NOT(ISERROR(SEARCH("Error",T25)))</formula>
    </cfRule>
  </conditionalFormatting>
  <conditionalFormatting sqref="D25:E25">
    <cfRule type="containsBlanks" dxfId="488" priority="87">
      <formula>LEN(TRIM(D25))=0</formula>
    </cfRule>
  </conditionalFormatting>
  <conditionalFormatting sqref="F25 I25 L25 O25">
    <cfRule type="expression" dxfId="487" priority="86">
      <formula>ISNUMBER(F25)=FALSE</formula>
    </cfRule>
  </conditionalFormatting>
  <conditionalFormatting sqref="B25:C25">
    <cfRule type="containsBlanks" dxfId="486" priority="85">
      <formula>LEN(TRIM(B25))=0</formula>
    </cfRule>
  </conditionalFormatting>
  <conditionalFormatting sqref="T26">
    <cfRule type="containsText" dxfId="485" priority="84" operator="containsText" text="Error">
      <formula>NOT(ISERROR(SEARCH("Error",T26)))</formula>
    </cfRule>
  </conditionalFormatting>
  <conditionalFormatting sqref="D26:E26">
    <cfRule type="containsBlanks" dxfId="484" priority="83">
      <formula>LEN(TRIM(D26))=0</formula>
    </cfRule>
  </conditionalFormatting>
  <conditionalFormatting sqref="F26 I26 L26 O26">
    <cfRule type="expression" dxfId="483" priority="82">
      <formula>ISNUMBER(F26)=FALSE</formula>
    </cfRule>
  </conditionalFormatting>
  <conditionalFormatting sqref="B26:C26">
    <cfRule type="containsBlanks" dxfId="482" priority="81">
      <formula>LEN(TRIM(B26))=0</formula>
    </cfRule>
  </conditionalFormatting>
  <conditionalFormatting sqref="T27">
    <cfRule type="containsText" dxfId="481" priority="80" operator="containsText" text="Error">
      <formula>NOT(ISERROR(SEARCH("Error",T27)))</formula>
    </cfRule>
  </conditionalFormatting>
  <conditionalFormatting sqref="D27:E27">
    <cfRule type="containsBlanks" dxfId="480" priority="79">
      <formula>LEN(TRIM(D27))=0</formula>
    </cfRule>
  </conditionalFormatting>
  <conditionalFormatting sqref="F27 I27 L27 O27">
    <cfRule type="expression" dxfId="479" priority="78">
      <formula>ISNUMBER(F27)=FALSE</formula>
    </cfRule>
  </conditionalFormatting>
  <conditionalFormatting sqref="B27:C27">
    <cfRule type="containsBlanks" dxfId="478" priority="77">
      <formula>LEN(TRIM(B27))=0</formula>
    </cfRule>
  </conditionalFormatting>
  <conditionalFormatting sqref="T28">
    <cfRule type="containsText" dxfId="477" priority="76" operator="containsText" text="Error">
      <formula>NOT(ISERROR(SEARCH("Error",T28)))</formula>
    </cfRule>
  </conditionalFormatting>
  <conditionalFormatting sqref="D28:E28">
    <cfRule type="containsBlanks" dxfId="476" priority="75">
      <formula>LEN(TRIM(D28))=0</formula>
    </cfRule>
  </conditionalFormatting>
  <conditionalFormatting sqref="F28 I28 L28 O28">
    <cfRule type="expression" dxfId="475" priority="74">
      <formula>ISNUMBER(F28)=FALSE</formula>
    </cfRule>
  </conditionalFormatting>
  <conditionalFormatting sqref="B28:C28">
    <cfRule type="containsBlanks" dxfId="474" priority="73">
      <formula>LEN(TRIM(B28))=0</formula>
    </cfRule>
  </conditionalFormatting>
  <conditionalFormatting sqref="T46">
    <cfRule type="containsText" dxfId="473" priority="72" operator="containsText" text="Error">
      <formula>NOT(ISERROR(SEARCH("Error",T46)))</formula>
    </cfRule>
  </conditionalFormatting>
  <conditionalFormatting sqref="D46:E46">
    <cfRule type="containsBlanks" dxfId="472" priority="71">
      <formula>LEN(TRIM(D46))=0</formula>
    </cfRule>
  </conditionalFormatting>
  <conditionalFormatting sqref="F46 I46 L46 O46">
    <cfRule type="expression" dxfId="471" priority="70">
      <formula>ISNUMBER(F46)=FALSE</formula>
    </cfRule>
  </conditionalFormatting>
  <conditionalFormatting sqref="B46:C46">
    <cfRule type="containsBlanks" dxfId="470" priority="69">
      <formula>LEN(TRIM(B46))=0</formula>
    </cfRule>
  </conditionalFormatting>
  <conditionalFormatting sqref="T29">
    <cfRule type="containsText" dxfId="469" priority="68" operator="containsText" text="Error">
      <formula>NOT(ISERROR(SEARCH("Error",T29)))</formula>
    </cfRule>
  </conditionalFormatting>
  <conditionalFormatting sqref="D29:E29">
    <cfRule type="containsBlanks" dxfId="468" priority="67">
      <formula>LEN(TRIM(D29))=0</formula>
    </cfRule>
  </conditionalFormatting>
  <conditionalFormatting sqref="F29 I29 L29 O29">
    <cfRule type="expression" dxfId="467" priority="66">
      <formula>ISNUMBER(F29)=FALSE</formula>
    </cfRule>
  </conditionalFormatting>
  <conditionalFormatting sqref="B29:C29">
    <cfRule type="containsBlanks" dxfId="466" priority="65">
      <formula>LEN(TRIM(B29))=0</formula>
    </cfRule>
  </conditionalFormatting>
  <conditionalFormatting sqref="T30">
    <cfRule type="containsText" dxfId="465" priority="64" operator="containsText" text="Error">
      <formula>NOT(ISERROR(SEARCH("Error",T30)))</formula>
    </cfRule>
  </conditionalFormatting>
  <conditionalFormatting sqref="D30:E30">
    <cfRule type="containsBlanks" dxfId="464" priority="63">
      <formula>LEN(TRIM(D30))=0</formula>
    </cfRule>
  </conditionalFormatting>
  <conditionalFormatting sqref="F30 I30 L30 O30">
    <cfRule type="expression" dxfId="463" priority="62">
      <formula>ISNUMBER(F30)=FALSE</formula>
    </cfRule>
  </conditionalFormatting>
  <conditionalFormatting sqref="B30:C30">
    <cfRule type="containsBlanks" dxfId="462" priority="61">
      <formula>LEN(TRIM(B30))=0</formula>
    </cfRule>
  </conditionalFormatting>
  <conditionalFormatting sqref="T31">
    <cfRule type="containsText" dxfId="461" priority="60" operator="containsText" text="Error">
      <formula>NOT(ISERROR(SEARCH("Error",T31)))</formula>
    </cfRule>
  </conditionalFormatting>
  <conditionalFormatting sqref="D31:E31">
    <cfRule type="containsBlanks" dxfId="460" priority="59">
      <formula>LEN(TRIM(D31))=0</formula>
    </cfRule>
  </conditionalFormatting>
  <conditionalFormatting sqref="F31 I31 L31 O31">
    <cfRule type="expression" dxfId="459" priority="58">
      <formula>ISNUMBER(F31)=FALSE</formula>
    </cfRule>
  </conditionalFormatting>
  <conditionalFormatting sqref="B31:C31">
    <cfRule type="containsBlanks" dxfId="458" priority="57">
      <formula>LEN(TRIM(B31))=0</formula>
    </cfRule>
  </conditionalFormatting>
  <conditionalFormatting sqref="T32">
    <cfRule type="containsText" dxfId="457" priority="56" operator="containsText" text="Error">
      <formula>NOT(ISERROR(SEARCH("Error",T32)))</formula>
    </cfRule>
  </conditionalFormatting>
  <conditionalFormatting sqref="D32:E32">
    <cfRule type="containsBlanks" dxfId="456" priority="55">
      <formula>LEN(TRIM(D32))=0</formula>
    </cfRule>
  </conditionalFormatting>
  <conditionalFormatting sqref="F32 I32 L32 O32">
    <cfRule type="expression" dxfId="455" priority="54">
      <formula>ISNUMBER(F32)=FALSE</formula>
    </cfRule>
  </conditionalFormatting>
  <conditionalFormatting sqref="B32:C32">
    <cfRule type="containsBlanks" dxfId="454" priority="53">
      <formula>LEN(TRIM(B32))=0</formula>
    </cfRule>
  </conditionalFormatting>
  <conditionalFormatting sqref="T33">
    <cfRule type="containsText" dxfId="453" priority="52" operator="containsText" text="Error">
      <formula>NOT(ISERROR(SEARCH("Error",T33)))</formula>
    </cfRule>
  </conditionalFormatting>
  <conditionalFormatting sqref="D33:E33">
    <cfRule type="containsBlanks" dxfId="452" priority="51">
      <formula>LEN(TRIM(D33))=0</formula>
    </cfRule>
  </conditionalFormatting>
  <conditionalFormatting sqref="F33 I33 L33 O33">
    <cfRule type="expression" dxfId="451" priority="50">
      <formula>ISNUMBER(F33)=FALSE</formula>
    </cfRule>
  </conditionalFormatting>
  <conditionalFormatting sqref="B33:C33">
    <cfRule type="containsBlanks" dxfId="450" priority="49">
      <formula>LEN(TRIM(B33))=0</formula>
    </cfRule>
  </conditionalFormatting>
  <conditionalFormatting sqref="T34">
    <cfRule type="containsText" dxfId="449" priority="48" operator="containsText" text="Error">
      <formula>NOT(ISERROR(SEARCH("Error",T34)))</formula>
    </cfRule>
  </conditionalFormatting>
  <conditionalFormatting sqref="D34:E34">
    <cfRule type="containsBlanks" dxfId="448" priority="47">
      <formula>LEN(TRIM(D34))=0</formula>
    </cfRule>
  </conditionalFormatting>
  <conditionalFormatting sqref="F34 I34 L34 O34">
    <cfRule type="expression" dxfId="447" priority="46">
      <formula>ISNUMBER(F34)=FALSE</formula>
    </cfRule>
  </conditionalFormatting>
  <conditionalFormatting sqref="B34:C34">
    <cfRule type="containsBlanks" dxfId="446" priority="45">
      <formula>LEN(TRIM(B34))=0</formula>
    </cfRule>
  </conditionalFormatting>
  <conditionalFormatting sqref="T35">
    <cfRule type="containsText" dxfId="445" priority="44" operator="containsText" text="Error">
      <formula>NOT(ISERROR(SEARCH("Error",T35)))</formula>
    </cfRule>
  </conditionalFormatting>
  <conditionalFormatting sqref="D35:E35">
    <cfRule type="containsBlanks" dxfId="444" priority="43">
      <formula>LEN(TRIM(D35))=0</formula>
    </cfRule>
  </conditionalFormatting>
  <conditionalFormatting sqref="F35 I35 L35 O35">
    <cfRule type="expression" dxfId="443" priority="42">
      <formula>ISNUMBER(F35)=FALSE</formula>
    </cfRule>
  </conditionalFormatting>
  <conditionalFormatting sqref="B35:C35">
    <cfRule type="containsBlanks" dxfId="442" priority="41">
      <formula>LEN(TRIM(B35))=0</formula>
    </cfRule>
  </conditionalFormatting>
  <conditionalFormatting sqref="T36">
    <cfRule type="containsText" dxfId="441" priority="40" operator="containsText" text="Error">
      <formula>NOT(ISERROR(SEARCH("Error",T36)))</formula>
    </cfRule>
  </conditionalFormatting>
  <conditionalFormatting sqref="D36:E36">
    <cfRule type="containsBlanks" dxfId="440" priority="39">
      <formula>LEN(TRIM(D36))=0</formula>
    </cfRule>
  </conditionalFormatting>
  <conditionalFormatting sqref="F36 I36 L36 O36">
    <cfRule type="expression" dxfId="439" priority="38">
      <formula>ISNUMBER(F36)=FALSE</formula>
    </cfRule>
  </conditionalFormatting>
  <conditionalFormatting sqref="B36:C36">
    <cfRule type="containsBlanks" dxfId="438" priority="37">
      <formula>LEN(TRIM(B36))=0</formula>
    </cfRule>
  </conditionalFormatting>
  <conditionalFormatting sqref="T37">
    <cfRule type="containsText" dxfId="437" priority="36" operator="containsText" text="Error">
      <formula>NOT(ISERROR(SEARCH("Error",T37)))</formula>
    </cfRule>
  </conditionalFormatting>
  <conditionalFormatting sqref="D37:E37">
    <cfRule type="containsBlanks" dxfId="436" priority="35">
      <formula>LEN(TRIM(D37))=0</formula>
    </cfRule>
  </conditionalFormatting>
  <conditionalFormatting sqref="F37 I37 L37 O37">
    <cfRule type="expression" dxfId="435" priority="34">
      <formula>ISNUMBER(F37)=FALSE</formula>
    </cfRule>
  </conditionalFormatting>
  <conditionalFormatting sqref="B37:C37">
    <cfRule type="containsBlanks" dxfId="434" priority="33">
      <formula>LEN(TRIM(B37))=0</formula>
    </cfRule>
  </conditionalFormatting>
  <conditionalFormatting sqref="T38">
    <cfRule type="containsText" dxfId="433" priority="32" operator="containsText" text="Error">
      <formula>NOT(ISERROR(SEARCH("Error",T38)))</formula>
    </cfRule>
  </conditionalFormatting>
  <conditionalFormatting sqref="D38:E38">
    <cfRule type="containsBlanks" dxfId="432" priority="31">
      <formula>LEN(TRIM(D38))=0</formula>
    </cfRule>
  </conditionalFormatting>
  <conditionalFormatting sqref="F38 I38 L38 O38">
    <cfRule type="expression" dxfId="431" priority="30">
      <formula>ISNUMBER(F38)=FALSE</formula>
    </cfRule>
  </conditionalFormatting>
  <conditionalFormatting sqref="B38:C38">
    <cfRule type="containsBlanks" dxfId="430" priority="29">
      <formula>LEN(TRIM(B38))=0</formula>
    </cfRule>
  </conditionalFormatting>
  <conditionalFormatting sqref="T39">
    <cfRule type="containsText" dxfId="429" priority="28" operator="containsText" text="Error">
      <formula>NOT(ISERROR(SEARCH("Error",T39)))</formula>
    </cfRule>
  </conditionalFormatting>
  <conditionalFormatting sqref="D39:E39">
    <cfRule type="containsBlanks" dxfId="428" priority="27">
      <formula>LEN(TRIM(D39))=0</formula>
    </cfRule>
  </conditionalFormatting>
  <conditionalFormatting sqref="F39 I39 L39 O39">
    <cfRule type="expression" dxfId="427" priority="26">
      <formula>ISNUMBER(F39)=FALSE</formula>
    </cfRule>
  </conditionalFormatting>
  <conditionalFormatting sqref="B39:C39">
    <cfRule type="containsBlanks" dxfId="426" priority="25">
      <formula>LEN(TRIM(B39))=0</formula>
    </cfRule>
  </conditionalFormatting>
  <conditionalFormatting sqref="T40">
    <cfRule type="containsText" dxfId="425" priority="24" operator="containsText" text="Error">
      <formula>NOT(ISERROR(SEARCH("Error",T40)))</formula>
    </cfRule>
  </conditionalFormatting>
  <conditionalFormatting sqref="D40:E40">
    <cfRule type="containsBlanks" dxfId="424" priority="23">
      <formula>LEN(TRIM(D40))=0</formula>
    </cfRule>
  </conditionalFormatting>
  <conditionalFormatting sqref="F40 I40 L40 O40">
    <cfRule type="expression" dxfId="423" priority="22">
      <formula>ISNUMBER(F40)=FALSE</formula>
    </cfRule>
  </conditionalFormatting>
  <conditionalFormatting sqref="B40:C40">
    <cfRule type="containsBlanks" dxfId="422" priority="21">
      <formula>LEN(TRIM(B40))=0</formula>
    </cfRule>
  </conditionalFormatting>
  <conditionalFormatting sqref="T41">
    <cfRule type="containsText" dxfId="421" priority="20" operator="containsText" text="Error">
      <formula>NOT(ISERROR(SEARCH("Error",T41)))</formula>
    </cfRule>
  </conditionalFormatting>
  <conditionalFormatting sqref="D41:E41">
    <cfRule type="containsBlanks" dxfId="420" priority="19">
      <formula>LEN(TRIM(D41))=0</formula>
    </cfRule>
  </conditionalFormatting>
  <conditionalFormatting sqref="F41 I41 L41 O41">
    <cfRule type="expression" dxfId="419" priority="18">
      <formula>ISNUMBER(F41)=FALSE</formula>
    </cfRule>
  </conditionalFormatting>
  <conditionalFormatting sqref="B41:C41">
    <cfRule type="containsBlanks" dxfId="418" priority="17">
      <formula>LEN(TRIM(B41))=0</formula>
    </cfRule>
  </conditionalFormatting>
  <conditionalFormatting sqref="T42">
    <cfRule type="containsText" dxfId="417" priority="16" operator="containsText" text="Error">
      <formula>NOT(ISERROR(SEARCH("Error",T42)))</formula>
    </cfRule>
  </conditionalFormatting>
  <conditionalFormatting sqref="D42:E42">
    <cfRule type="containsBlanks" dxfId="416" priority="15">
      <formula>LEN(TRIM(D42))=0</formula>
    </cfRule>
  </conditionalFormatting>
  <conditionalFormatting sqref="F42 I42 L42 O42">
    <cfRule type="expression" dxfId="415" priority="14">
      <formula>ISNUMBER(F42)=FALSE</formula>
    </cfRule>
  </conditionalFormatting>
  <conditionalFormatting sqref="B42:C42">
    <cfRule type="containsBlanks" dxfId="414" priority="13">
      <formula>LEN(TRIM(B42))=0</formula>
    </cfRule>
  </conditionalFormatting>
  <conditionalFormatting sqref="T43">
    <cfRule type="containsText" dxfId="413" priority="12" operator="containsText" text="Error">
      <formula>NOT(ISERROR(SEARCH("Error",T43)))</formula>
    </cfRule>
  </conditionalFormatting>
  <conditionalFormatting sqref="D43:E43">
    <cfRule type="containsBlanks" dxfId="412" priority="11">
      <formula>LEN(TRIM(D43))=0</formula>
    </cfRule>
  </conditionalFormatting>
  <conditionalFormatting sqref="F43 I43 L43 O43">
    <cfRule type="expression" dxfId="411" priority="10">
      <formula>ISNUMBER(F43)=FALSE</formula>
    </cfRule>
  </conditionalFormatting>
  <conditionalFormatting sqref="B43:C43">
    <cfRule type="containsBlanks" dxfId="410" priority="9">
      <formula>LEN(TRIM(B43))=0</formula>
    </cfRule>
  </conditionalFormatting>
  <conditionalFormatting sqref="T44">
    <cfRule type="containsText" dxfId="405" priority="8" operator="containsText" text="Error">
      <formula>NOT(ISERROR(SEARCH("Error",T44)))</formula>
    </cfRule>
  </conditionalFormatting>
  <conditionalFormatting sqref="D44:E44">
    <cfRule type="containsBlanks" dxfId="404" priority="7">
      <formula>LEN(TRIM(D44))=0</formula>
    </cfRule>
  </conditionalFormatting>
  <conditionalFormatting sqref="F44 I44 L44 O44">
    <cfRule type="expression" dxfId="403" priority="6">
      <formula>ISNUMBER(F44)=FALSE</formula>
    </cfRule>
  </conditionalFormatting>
  <conditionalFormatting sqref="B44:C44">
    <cfRule type="containsBlanks" dxfId="402" priority="5">
      <formula>LEN(TRIM(B44))=0</formula>
    </cfRule>
  </conditionalFormatting>
  <conditionalFormatting sqref="T45">
    <cfRule type="containsText" dxfId="397" priority="4" operator="containsText" text="Error">
      <formula>NOT(ISERROR(SEARCH("Error",T45)))</formula>
    </cfRule>
  </conditionalFormatting>
  <conditionalFormatting sqref="D45:E45">
    <cfRule type="containsBlanks" dxfId="396" priority="3">
      <formula>LEN(TRIM(D45))=0</formula>
    </cfRule>
  </conditionalFormatting>
  <conditionalFormatting sqref="F45 I45 L45 O45">
    <cfRule type="expression" dxfId="395" priority="2">
      <formula>ISNUMBER(F45)=FALSE</formula>
    </cfRule>
  </conditionalFormatting>
  <conditionalFormatting sqref="B45:C45">
    <cfRule type="containsBlanks" dxfId="394" priority="1">
      <formula>LEN(TRIM(B45))=0</formula>
    </cfRule>
  </conditionalFormatting>
  <dataValidations count="4">
    <dataValidation allowBlank="1" showInputMessage="1" errorTitle="Warning: Max Ceilings exceeded" error="Please be aware that this exceed the &quot;Ceilings&quot; for the maximum amounts for staff cost by country" sqref="G13:G46 P13:P46 J13:J46 M13:M46" xr:uid="{00000000-0002-0000-0200-000000000000}"/>
    <dataValidation type="custom" allowBlank="1" showInputMessage="1" showErrorMessage="1" error="Format error (1 decimal only)" prompt="Please encode number of days - 1 decimal only" sqref="L13:L46 O13:O46 I13:I46 F13:F46" xr:uid="{00000000-0002-0000-0200-000001000000}">
      <formula1>F13=INT(F13*10)/10</formula1>
    </dataValidation>
    <dataValidation type="list" allowBlank="1" showInputMessage="1" showErrorMessage="1" error="Click arrow to select Work Package" prompt="Click arrow to select Work Package" sqref="B13:B46" xr:uid="{00000000-0002-0000-0200-000002000000}">
      <formula1>WorkPackage</formula1>
    </dataValidation>
    <dataValidation type="list" allowBlank="1" showInputMessage="1" showErrorMessage="1" error="Click arrow to select Partner N°" prompt="Click arrow to select Partner N°" sqref="C13:C46"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2"/>
  <sheetViews>
    <sheetView showGridLines="0" zoomScale="70" zoomScaleNormal="70" zoomScaleSheetLayoutView="55" workbookViewId="0">
      <pane ySplit="13" topLeftCell="A14" activePane="bottomLeft" state="frozen"/>
      <selection pane="bottomLeft" activeCell="I14" sqref="I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57" t="s">
        <v>302</v>
      </c>
      <c r="C4" s="158"/>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5" t="s">
        <v>303</v>
      </c>
      <c r="C5" s="156"/>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7" t="s">
        <v>304</v>
      </c>
      <c r="C6" s="158"/>
      <c r="D6" s="55">
        <f>SUMIF(G:G,"Staff",O:O)</f>
        <v>179005</v>
      </c>
      <c r="E6" s="180">
        <f>D6+D7</f>
        <v>464365</v>
      </c>
      <c r="F6" s="165">
        <f>SUMIFS(H:H,G:G,"Staff",R:R,"&lt;&gt;Error")</f>
        <v>303</v>
      </c>
      <c r="G6" s="53"/>
      <c r="L6" s="172"/>
      <c r="M6" s="173"/>
      <c r="N6" s="174"/>
      <c r="R6" s="84"/>
    </row>
    <row r="7" spans="2:18" s="24" customFormat="1" ht="20.100000000000001" customHeight="1" x14ac:dyDescent="0.35">
      <c r="B7" s="155" t="s">
        <v>305</v>
      </c>
      <c r="C7" s="156"/>
      <c r="D7" s="56">
        <f>SUMIF(G:G,"Staff",P:P)</f>
        <v>285360</v>
      </c>
      <c r="E7" s="181"/>
      <c r="F7" s="166"/>
      <c r="G7" s="53"/>
      <c r="L7" s="172"/>
      <c r="M7" s="173"/>
      <c r="N7" s="174"/>
      <c r="R7" s="84"/>
    </row>
    <row r="8" spans="2:18" s="24" customFormat="1" ht="20.100000000000001" customHeight="1" x14ac:dyDescent="0.35">
      <c r="B8" s="157" t="s">
        <v>306</v>
      </c>
      <c r="C8" s="158"/>
      <c r="D8" s="55">
        <f>SUM(O:O)</f>
        <v>179005</v>
      </c>
      <c r="E8" s="178">
        <f>D8+D9</f>
        <v>464365</v>
      </c>
      <c r="F8" s="163">
        <f>F4+F6</f>
        <v>303</v>
      </c>
      <c r="G8" s="53"/>
      <c r="L8" s="172"/>
      <c r="M8" s="173"/>
      <c r="N8" s="174"/>
      <c r="R8" s="84"/>
    </row>
    <row r="9" spans="2:18" s="24" customFormat="1" ht="20.100000000000001" customHeight="1" x14ac:dyDescent="0.35">
      <c r="B9" s="155" t="s">
        <v>307</v>
      </c>
      <c r="C9" s="156"/>
      <c r="D9" s="56">
        <f>SUM(P:P)</f>
        <v>285360</v>
      </c>
      <c r="E9" s="179"/>
      <c r="F9" s="164"/>
      <c r="G9" s="53"/>
      <c r="L9" s="172"/>
      <c r="M9" s="173"/>
      <c r="N9" s="174"/>
      <c r="R9" s="84"/>
    </row>
    <row r="10" spans="2:18" s="24" customFormat="1" x14ac:dyDescent="0.35">
      <c r="B10" s="155" t="s">
        <v>344</v>
      </c>
      <c r="C10" s="156"/>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5" si="2">IF(AND(M13&gt;0,L13&lt;&gt;""),IF(M13&gt;(ROUND( (ROUND(ROUND(H13,0)*(VLOOKUP(J13,TravelCosts,2,FALSE)),2))/0.65,2)),ROUND(M13*0.8,2),"covered by unit cost"),0)</f>
        <v>0</v>
      </c>
      <c r="O13" s="41">
        <f t="shared" ref="O13:O25" si="3">IF(OR(AND(L13&lt;&gt;"",M13&gt;0,ISNUMBER(N13)),R13="Error"),0,ROUND(ROUND(H13,0)*(VLOOKUP(J13,TravelCosts,2,FALSE)),2))</f>
        <v>0</v>
      </c>
      <c r="P13" s="41">
        <f t="shared" ref="P13:P25" si="4">IF(R13="Error",0,IF(AND(G13="Staff",K13&gt;0,K13&lt;15),(120*K13)*H13,IF(AND(G13="Staff",K13&gt;14,K13&lt;61),(1680+((K13-14)*70))*H13,IF(AND(G13="Staff",K13&gt;60,K13&lt;91),(4900+((K13-60)*50))*H13,IF(AND(G13="Student",K13&gt;0,K13&lt;15),(55*K13)*H13,IF(AND(G13="Student",K13&gt;14,K13&lt;91),(770+((K13-14)*40))*H13,0))))))</f>
        <v>0</v>
      </c>
      <c r="Q13" s="42">
        <f t="shared" ref="Q13:Q25" si="5">IFERROR(N13+O13+P13,O13+P13)</f>
        <v>0</v>
      </c>
      <c r="R13" s="104" t="str">
        <f t="shared" ref="R13:R25"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173</v>
      </c>
      <c r="C14" s="23" t="s">
        <v>8</v>
      </c>
      <c r="D14" s="46" t="str">
        <f t="shared" si="0"/>
        <v>DUNP</v>
      </c>
      <c r="E14" s="46" t="str">
        <f t="shared" si="1"/>
        <v>Serbia</v>
      </c>
      <c r="F14" s="22" t="s">
        <v>371</v>
      </c>
      <c r="G14" s="85" t="s">
        <v>208</v>
      </c>
      <c r="H14" s="86">
        <v>20</v>
      </c>
      <c r="I14" s="22" t="s">
        <v>375</v>
      </c>
      <c r="J14" s="18" t="s">
        <v>150</v>
      </c>
      <c r="K14" s="86">
        <v>10</v>
      </c>
      <c r="L14" s="105"/>
      <c r="M14" s="106"/>
      <c r="N14" s="41">
        <f t="shared" si="2"/>
        <v>0</v>
      </c>
      <c r="O14" s="41">
        <f t="shared" si="3"/>
        <v>5500</v>
      </c>
      <c r="P14" s="41">
        <f t="shared" si="4"/>
        <v>24000</v>
      </c>
      <c r="Q14" s="42">
        <f t="shared" si="5"/>
        <v>29500</v>
      </c>
      <c r="R14" s="104" t="str">
        <f t="shared" si="6"/>
        <v/>
      </c>
    </row>
    <row r="15" spans="2:18" s="38" customFormat="1" x14ac:dyDescent="0.3">
      <c r="B15" s="18" t="s">
        <v>173</v>
      </c>
      <c r="C15" s="23" t="s">
        <v>8</v>
      </c>
      <c r="D15" s="46" t="str">
        <f t="shared" ref="D15:D27" si="7">IFERROR(IF(VLOOKUP(C15,PartnerN°Ref,2,FALSE)=0,"",VLOOKUP(C15,PartnerN°Ref,2,FALSE)),"")</f>
        <v>DUNP</v>
      </c>
      <c r="E15" s="46" t="str">
        <f t="shared" ref="E15:E27" si="8">IFERROR(IF(OR(VLOOKUP(C15,PartnerN°Ref,4,FALSE)="Country not found",VLOOKUP(C15,PartnerN°Ref,3,FALSE)=0),"",VLOOKUP(C15,PartnerN°Ref,3,FALSE)),"")</f>
        <v>Serbia</v>
      </c>
      <c r="F15" s="22" t="s">
        <v>371</v>
      </c>
      <c r="G15" s="85" t="s">
        <v>208</v>
      </c>
      <c r="H15" s="86">
        <v>20</v>
      </c>
      <c r="I15" s="22" t="s">
        <v>376</v>
      </c>
      <c r="J15" s="18" t="s">
        <v>150</v>
      </c>
      <c r="K15" s="86">
        <v>10</v>
      </c>
      <c r="L15" s="105"/>
      <c r="M15" s="106"/>
      <c r="N15" s="41">
        <f t="shared" ref="N15:N19" si="9">IF(AND(M15&gt;0,L15&lt;&gt;""),IF(M15&gt;(ROUND( (ROUND(ROUND(H15,0)*(VLOOKUP(J15,TravelCosts,2,FALSE)),2))/0.65,2)),ROUND(M15*0.8,2),"covered by unit cost"),0)</f>
        <v>0</v>
      </c>
      <c r="O15" s="41">
        <f t="shared" ref="O15:O19" si="10">IF(OR(AND(L15&lt;&gt;"",M15&gt;0,ISNUMBER(N15)),R15="Error"),0,ROUND(ROUND(H15,0)*(VLOOKUP(J15,TravelCosts,2,FALSE)),2))</f>
        <v>5500</v>
      </c>
      <c r="P15" s="41">
        <f t="shared" ref="P15:P19" si="11">IF(R15="Error",0,IF(AND(G15="Staff",K15&gt;0,K15&lt;15),(120*K15)*H15,IF(AND(G15="Staff",K15&gt;14,K15&lt;61),(1680+((K15-14)*70))*H15,IF(AND(G15="Staff",K15&gt;60,K15&lt;91),(4900+((K15-60)*50))*H15,IF(AND(G15="Student",K15&gt;0,K15&lt;15),(55*K15)*H15,IF(AND(G15="Student",K15&gt;14,K15&lt;91),(770+((K15-14)*40))*H15,0))))))</f>
        <v>24000</v>
      </c>
      <c r="Q15" s="42">
        <f t="shared" ref="Q15:Q19" si="12">IFERROR(N15+O15+P15,O15+P15)</f>
        <v>29500</v>
      </c>
      <c r="R15" s="104" t="str">
        <f t="shared" ref="R15:R19" si="13">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8" customFormat="1" x14ac:dyDescent="0.3">
      <c r="B16" s="18" t="s">
        <v>173</v>
      </c>
      <c r="C16" s="23" t="s">
        <v>8</v>
      </c>
      <c r="D16" s="46" t="str">
        <f t="shared" si="7"/>
        <v>DUNP</v>
      </c>
      <c r="E16" s="46" t="str">
        <f t="shared" si="8"/>
        <v>Serbia</v>
      </c>
      <c r="F16" s="22" t="s">
        <v>371</v>
      </c>
      <c r="G16" s="85" t="s">
        <v>208</v>
      </c>
      <c r="H16" s="86">
        <v>20</v>
      </c>
      <c r="I16" s="22" t="s">
        <v>405</v>
      </c>
      <c r="J16" s="18" t="s">
        <v>155</v>
      </c>
      <c r="K16" s="86">
        <v>10</v>
      </c>
      <c r="L16" s="105"/>
      <c r="M16" s="106"/>
      <c r="N16" s="41">
        <f t="shared" si="9"/>
        <v>0</v>
      </c>
      <c r="O16" s="41">
        <f t="shared" si="10"/>
        <v>16400</v>
      </c>
      <c r="P16" s="41">
        <f t="shared" si="11"/>
        <v>24000</v>
      </c>
      <c r="Q16" s="42">
        <f t="shared" si="12"/>
        <v>40400</v>
      </c>
      <c r="R16" s="104" t="str">
        <f t="shared" si="13"/>
        <v/>
      </c>
    </row>
    <row r="17" spans="2:18" s="38" customFormat="1" x14ac:dyDescent="0.3">
      <c r="B17" s="18" t="s">
        <v>173</v>
      </c>
      <c r="C17" s="23" t="s">
        <v>8</v>
      </c>
      <c r="D17" s="46" t="str">
        <f t="shared" si="7"/>
        <v>DUNP</v>
      </c>
      <c r="E17" s="46" t="str">
        <f t="shared" si="8"/>
        <v>Serbia</v>
      </c>
      <c r="F17" s="22" t="s">
        <v>371</v>
      </c>
      <c r="G17" s="85" t="s">
        <v>208</v>
      </c>
      <c r="H17" s="86">
        <v>20</v>
      </c>
      <c r="I17" s="22" t="s">
        <v>377</v>
      </c>
      <c r="J17" s="18" t="s">
        <v>152</v>
      </c>
      <c r="K17" s="86">
        <v>10</v>
      </c>
      <c r="L17" s="105"/>
      <c r="M17" s="106"/>
      <c r="N17" s="41">
        <f t="shared" si="9"/>
        <v>0</v>
      </c>
      <c r="O17" s="41">
        <f t="shared" si="10"/>
        <v>30000</v>
      </c>
      <c r="P17" s="41">
        <f t="shared" si="11"/>
        <v>24000</v>
      </c>
      <c r="Q17" s="42">
        <f t="shared" si="12"/>
        <v>54000</v>
      </c>
      <c r="R17" s="104" t="str">
        <f t="shared" si="13"/>
        <v/>
      </c>
    </row>
    <row r="18" spans="2:18" s="38" customFormat="1" x14ac:dyDescent="0.3">
      <c r="B18" s="18" t="s">
        <v>173</v>
      </c>
      <c r="C18" s="23" t="s">
        <v>8</v>
      </c>
      <c r="D18" s="46" t="str">
        <f t="shared" si="7"/>
        <v>DUNP</v>
      </c>
      <c r="E18" s="46" t="str">
        <f t="shared" si="8"/>
        <v>Serbia</v>
      </c>
      <c r="F18" s="22" t="s">
        <v>371</v>
      </c>
      <c r="G18" s="85" t="s">
        <v>208</v>
      </c>
      <c r="H18" s="86">
        <v>20</v>
      </c>
      <c r="I18" s="22" t="s">
        <v>374</v>
      </c>
      <c r="J18" s="18" t="s">
        <v>155</v>
      </c>
      <c r="K18" s="86">
        <v>10</v>
      </c>
      <c r="L18" s="105"/>
      <c r="M18" s="106"/>
      <c r="N18" s="41">
        <f t="shared" si="9"/>
        <v>0</v>
      </c>
      <c r="O18" s="41">
        <f t="shared" si="10"/>
        <v>16400</v>
      </c>
      <c r="P18" s="41">
        <f t="shared" si="11"/>
        <v>24000</v>
      </c>
      <c r="Q18" s="42">
        <f t="shared" si="12"/>
        <v>40400</v>
      </c>
      <c r="R18" s="104" t="str">
        <f t="shared" si="13"/>
        <v/>
      </c>
    </row>
    <row r="19" spans="2:18" s="38" customFormat="1" x14ac:dyDescent="0.3">
      <c r="B19" s="18" t="s">
        <v>172</v>
      </c>
      <c r="C19" s="23" t="s">
        <v>9</v>
      </c>
      <c r="D19" s="46" t="str">
        <f t="shared" si="7"/>
        <v>UNS</v>
      </c>
      <c r="E19" s="46" t="str">
        <f t="shared" si="8"/>
        <v>Serbia</v>
      </c>
      <c r="F19" s="22" t="s">
        <v>372</v>
      </c>
      <c r="G19" s="85" t="s">
        <v>208</v>
      </c>
      <c r="H19" s="86">
        <v>22</v>
      </c>
      <c r="I19" s="22" t="s">
        <v>371</v>
      </c>
      <c r="J19" s="18" t="s">
        <v>149</v>
      </c>
      <c r="K19" s="86">
        <v>6</v>
      </c>
      <c r="L19" s="105"/>
      <c r="M19" s="106"/>
      <c r="N19" s="41">
        <f t="shared" si="9"/>
        <v>0</v>
      </c>
      <c r="O19" s="41">
        <f t="shared" si="10"/>
        <v>3960</v>
      </c>
      <c r="P19" s="41">
        <f t="shared" si="11"/>
        <v>15840</v>
      </c>
      <c r="Q19" s="42">
        <f t="shared" si="12"/>
        <v>19800</v>
      </c>
      <c r="R19" s="104" t="str">
        <f t="shared" si="13"/>
        <v/>
      </c>
    </row>
    <row r="20" spans="2:18" s="38" customFormat="1" x14ac:dyDescent="0.3">
      <c r="B20" s="18" t="s">
        <v>172</v>
      </c>
      <c r="C20" s="23" t="s">
        <v>10</v>
      </c>
      <c r="D20" s="46" t="str">
        <f t="shared" si="7"/>
        <v>UNI</v>
      </c>
      <c r="E20" s="46" t="str">
        <f t="shared" si="8"/>
        <v>Serbia</v>
      </c>
      <c r="F20" s="22" t="s">
        <v>373</v>
      </c>
      <c r="G20" s="85" t="s">
        <v>208</v>
      </c>
      <c r="H20" s="86">
        <v>23</v>
      </c>
      <c r="I20" s="22" t="s">
        <v>371</v>
      </c>
      <c r="J20" s="18" t="s">
        <v>149</v>
      </c>
      <c r="K20" s="86">
        <v>6</v>
      </c>
      <c r="L20" s="105"/>
      <c r="M20" s="106"/>
      <c r="N20" s="41">
        <f t="shared" si="2"/>
        <v>0</v>
      </c>
      <c r="O20" s="41">
        <f t="shared" si="3"/>
        <v>4140</v>
      </c>
      <c r="P20" s="41">
        <f t="shared" si="4"/>
        <v>16560</v>
      </c>
      <c r="Q20" s="42">
        <f t="shared" si="5"/>
        <v>20700</v>
      </c>
      <c r="R20" s="104" t="str">
        <f t="shared" si="6"/>
        <v/>
      </c>
    </row>
    <row r="21" spans="2:18" s="38" customFormat="1" x14ac:dyDescent="0.3">
      <c r="B21" s="18" t="s">
        <v>172</v>
      </c>
      <c r="C21" s="23" t="s">
        <v>11</v>
      </c>
      <c r="D21" s="46" t="str">
        <f t="shared" si="7"/>
        <v>University of Cape Town</v>
      </c>
      <c r="E21" s="46" t="str">
        <f t="shared" si="8"/>
        <v>South Africa</v>
      </c>
      <c r="F21" s="22" t="s">
        <v>377</v>
      </c>
      <c r="G21" s="85" t="s">
        <v>208</v>
      </c>
      <c r="H21" s="86">
        <v>22</v>
      </c>
      <c r="I21" s="22" t="s">
        <v>371</v>
      </c>
      <c r="J21" s="18" t="s">
        <v>152</v>
      </c>
      <c r="K21" s="86">
        <v>6</v>
      </c>
      <c r="L21" s="105"/>
      <c r="M21" s="106"/>
      <c r="N21" s="41">
        <f t="shared" si="2"/>
        <v>0</v>
      </c>
      <c r="O21" s="41">
        <f t="shared" si="3"/>
        <v>33000</v>
      </c>
      <c r="P21" s="41">
        <f t="shared" si="4"/>
        <v>15840</v>
      </c>
      <c r="Q21" s="42">
        <f t="shared" si="5"/>
        <v>48840</v>
      </c>
      <c r="R21" s="104" t="str">
        <f t="shared" si="6"/>
        <v/>
      </c>
    </row>
    <row r="22" spans="2:18" s="38" customFormat="1" x14ac:dyDescent="0.3">
      <c r="B22" s="18" t="s">
        <v>172</v>
      </c>
      <c r="C22" s="23" t="s">
        <v>12</v>
      </c>
      <c r="D22" s="46" t="str">
        <f t="shared" si="7"/>
        <v>KU Leuven</v>
      </c>
      <c r="E22" s="46" t="str">
        <f t="shared" si="8"/>
        <v>Belgium</v>
      </c>
      <c r="F22" s="22" t="s">
        <v>376</v>
      </c>
      <c r="G22" s="85" t="s">
        <v>208</v>
      </c>
      <c r="H22" s="86">
        <v>25</v>
      </c>
      <c r="I22" s="22" t="s">
        <v>371</v>
      </c>
      <c r="J22" s="18" t="s">
        <v>150</v>
      </c>
      <c r="K22" s="86">
        <v>6</v>
      </c>
      <c r="L22" s="105"/>
      <c r="M22" s="106"/>
      <c r="N22" s="41">
        <f t="shared" si="2"/>
        <v>0</v>
      </c>
      <c r="O22" s="41">
        <f t="shared" si="3"/>
        <v>6875</v>
      </c>
      <c r="P22" s="41">
        <f t="shared" si="4"/>
        <v>18000</v>
      </c>
      <c r="Q22" s="42">
        <f t="shared" si="5"/>
        <v>24875</v>
      </c>
      <c r="R22" s="104" t="str">
        <f t="shared" si="6"/>
        <v/>
      </c>
    </row>
    <row r="23" spans="2:18" s="38" customFormat="1" x14ac:dyDescent="0.3">
      <c r="B23" s="18" t="s">
        <v>172</v>
      </c>
      <c r="C23" s="23" t="s">
        <v>13</v>
      </c>
      <c r="D23" s="46" t="str">
        <f t="shared" si="7"/>
        <v>IIT Bombay</v>
      </c>
      <c r="E23" s="46" t="str">
        <f t="shared" si="8"/>
        <v>India</v>
      </c>
      <c r="F23" s="22" t="s">
        <v>405</v>
      </c>
      <c r="G23" s="85" t="s">
        <v>208</v>
      </c>
      <c r="H23" s="86">
        <v>25</v>
      </c>
      <c r="I23" s="22" t="s">
        <v>371</v>
      </c>
      <c r="J23" s="18" t="s">
        <v>155</v>
      </c>
      <c r="K23" s="86">
        <v>6</v>
      </c>
      <c r="L23" s="105"/>
      <c r="M23" s="106"/>
      <c r="N23" s="41">
        <f t="shared" si="2"/>
        <v>0</v>
      </c>
      <c r="O23" s="41">
        <f t="shared" si="3"/>
        <v>20500</v>
      </c>
      <c r="P23" s="41">
        <f t="shared" si="4"/>
        <v>18000</v>
      </c>
      <c r="Q23" s="42">
        <f t="shared" si="5"/>
        <v>38500</v>
      </c>
      <c r="R23" s="104" t="str">
        <f t="shared" si="6"/>
        <v/>
      </c>
    </row>
    <row r="24" spans="2:18" s="38" customFormat="1" x14ac:dyDescent="0.3">
      <c r="B24" s="18" t="s">
        <v>172</v>
      </c>
      <c r="C24" s="23" t="s">
        <v>14</v>
      </c>
      <c r="D24" s="46" t="str">
        <f t="shared" si="7"/>
        <v>Tsinghua University</v>
      </c>
      <c r="E24" s="46" t="str">
        <f t="shared" si="8"/>
        <v>China</v>
      </c>
      <c r="F24" s="22" t="s">
        <v>374</v>
      </c>
      <c r="G24" s="85" t="s">
        <v>208</v>
      </c>
      <c r="H24" s="86">
        <v>24</v>
      </c>
      <c r="I24" s="22" t="s">
        <v>371</v>
      </c>
      <c r="J24" s="18" t="s">
        <v>155</v>
      </c>
      <c r="K24" s="86">
        <v>6</v>
      </c>
      <c r="L24" s="105"/>
      <c r="M24" s="106"/>
      <c r="N24" s="41">
        <f t="shared" si="2"/>
        <v>0</v>
      </c>
      <c r="O24" s="41">
        <f t="shared" si="3"/>
        <v>19680</v>
      </c>
      <c r="P24" s="41">
        <f t="shared" si="4"/>
        <v>17280</v>
      </c>
      <c r="Q24" s="42">
        <f t="shared" si="5"/>
        <v>36960</v>
      </c>
      <c r="R24" s="104" t="str">
        <f t="shared" si="6"/>
        <v/>
      </c>
    </row>
    <row r="25" spans="2:18" s="38" customFormat="1" x14ac:dyDescent="0.3">
      <c r="B25" s="18" t="s">
        <v>172</v>
      </c>
      <c r="C25" s="23" t="s">
        <v>15</v>
      </c>
      <c r="D25" s="46" t="str">
        <f t="shared" si="7"/>
        <v>TUM</v>
      </c>
      <c r="E25" s="46" t="str">
        <f t="shared" si="8"/>
        <v>Denmark</v>
      </c>
      <c r="F25" s="22" t="s">
        <v>375</v>
      </c>
      <c r="G25" s="85" t="s">
        <v>208</v>
      </c>
      <c r="H25" s="86">
        <v>22</v>
      </c>
      <c r="I25" s="22" t="s">
        <v>371</v>
      </c>
      <c r="J25" s="18" t="s">
        <v>150</v>
      </c>
      <c r="K25" s="86">
        <v>6</v>
      </c>
      <c r="L25" s="105"/>
      <c r="M25" s="106"/>
      <c r="N25" s="41">
        <f t="shared" si="2"/>
        <v>0</v>
      </c>
      <c r="O25" s="41">
        <f t="shared" si="3"/>
        <v>6050</v>
      </c>
      <c r="P25" s="41">
        <f t="shared" si="4"/>
        <v>15840</v>
      </c>
      <c r="Q25" s="42">
        <f t="shared" si="5"/>
        <v>21890</v>
      </c>
      <c r="R25" s="104" t="str">
        <f t="shared" si="6"/>
        <v/>
      </c>
    </row>
    <row r="26" spans="2:18" s="38" customFormat="1" x14ac:dyDescent="0.3">
      <c r="B26" s="18" t="s">
        <v>173</v>
      </c>
      <c r="C26" s="23" t="s">
        <v>9</v>
      </c>
      <c r="D26" s="46" t="str">
        <f t="shared" si="7"/>
        <v>UNS</v>
      </c>
      <c r="E26" s="46" t="str">
        <f t="shared" si="8"/>
        <v>Serbia</v>
      </c>
      <c r="F26" s="22" t="s">
        <v>372</v>
      </c>
      <c r="G26" s="85" t="s">
        <v>208</v>
      </c>
      <c r="H26" s="86">
        <v>20</v>
      </c>
      <c r="I26" s="22" t="s">
        <v>375</v>
      </c>
      <c r="J26" s="18" t="s">
        <v>150</v>
      </c>
      <c r="K26" s="86">
        <v>10</v>
      </c>
      <c r="L26" s="105"/>
      <c r="M26" s="106"/>
      <c r="N26" s="41">
        <f t="shared" ref="N26:N27" si="14">IF(AND(M26&gt;0,L26&lt;&gt;""),IF(M26&gt;(ROUND( (ROUND(ROUND(H26,0)*(VLOOKUP(J26,TravelCosts,2,FALSE)),2))/0.65,2)),ROUND(M26*0.8,2),"covered by unit cost"),0)</f>
        <v>0</v>
      </c>
      <c r="O26" s="41">
        <f t="shared" ref="O26:O27" si="15">IF(OR(AND(L26&lt;&gt;"",M26&gt;0,ISNUMBER(N26)),R26="Error"),0,ROUND(ROUND(H26,0)*(VLOOKUP(J26,TravelCosts,2,FALSE)),2))</f>
        <v>5500</v>
      </c>
      <c r="P26" s="41">
        <f t="shared" ref="P26:P27" si="16">IF(R26="Error",0,IF(AND(G26="Staff",K26&gt;0,K26&lt;15),(120*K26)*H26,IF(AND(G26="Staff",K26&gt;14,K26&lt;61),(1680+((K26-14)*70))*H26,IF(AND(G26="Staff",K26&gt;60,K26&lt;91),(4900+((K26-60)*50))*H26,IF(AND(G26="Student",K26&gt;0,K26&lt;15),(55*K26)*H26,IF(AND(G26="Student",K26&gt;14,K26&lt;91),(770+((K26-14)*40))*H26,0))))))</f>
        <v>24000</v>
      </c>
      <c r="Q26" s="42">
        <f t="shared" ref="Q26:Q27" si="17">IFERROR(N26+O26+P26,O26+P26)</f>
        <v>29500</v>
      </c>
      <c r="R26" s="104" t="str">
        <f t="shared" ref="R26:R27" si="18">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8" customFormat="1" x14ac:dyDescent="0.3">
      <c r="B27" s="18" t="s">
        <v>173</v>
      </c>
      <c r="C27" s="23" t="s">
        <v>10</v>
      </c>
      <c r="D27" s="46" t="str">
        <f t="shared" si="7"/>
        <v>UNI</v>
      </c>
      <c r="E27" s="46" t="str">
        <f t="shared" si="8"/>
        <v>Serbia</v>
      </c>
      <c r="F27" s="22" t="s">
        <v>373</v>
      </c>
      <c r="G27" s="85" t="s">
        <v>208</v>
      </c>
      <c r="H27" s="86">
        <v>20</v>
      </c>
      <c r="I27" s="22" t="s">
        <v>376</v>
      </c>
      <c r="J27" s="18" t="s">
        <v>150</v>
      </c>
      <c r="K27" s="86">
        <v>10</v>
      </c>
      <c r="L27" s="105"/>
      <c r="M27" s="106"/>
      <c r="N27" s="41">
        <f t="shared" si="14"/>
        <v>0</v>
      </c>
      <c r="O27" s="41">
        <f t="shared" si="15"/>
        <v>5500</v>
      </c>
      <c r="P27" s="41">
        <f t="shared" si="16"/>
        <v>24000</v>
      </c>
      <c r="Q27" s="42">
        <f t="shared" si="17"/>
        <v>29500</v>
      </c>
      <c r="R27" s="104" t="str">
        <f t="shared" si="18"/>
        <v/>
      </c>
    </row>
    <row r="29" spans="2:18" x14ac:dyDescent="0.35">
      <c r="M29" s="109"/>
    </row>
    <row r="31" spans="2:18" x14ac:dyDescent="0.35">
      <c r="L31" s="108"/>
      <c r="M31" s="108"/>
    </row>
    <row r="32" spans="2:18" x14ac:dyDescent="0.35">
      <c r="M32" s="108"/>
      <c r="N32" s="108"/>
      <c r="O32" s="108"/>
    </row>
  </sheetData>
  <sheetProtection algorithmName="SHA-512" hashValue="yAupvvB94zWUfIy3apitglM3BS/MN+Lka2Qe+x22+73ZD77leaQYR4eNTYM3sCpytIk/7hzyo1B42A0s1moA/g==" saltValue="wBhDNNLw1cjm+Wt6OfVVRg==" spinCount="100000" sheet="1" objects="1" scenarios="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phoneticPr fontId="38" type="noConversion"/>
  <conditionalFormatting sqref="R14">
    <cfRule type="containsText" dxfId="389" priority="1785" operator="containsText" text="Error">
      <formula>NOT(ISERROR(SEARCH("Error",R14)))</formula>
    </cfRule>
  </conditionalFormatting>
  <conditionalFormatting sqref="D13:E14">
    <cfRule type="containsBlanks" dxfId="388" priority="1783">
      <formula>LEN(TRIM(D13))=0</formula>
    </cfRule>
  </conditionalFormatting>
  <conditionalFormatting sqref="O4:Q4">
    <cfRule type="cellIs" dxfId="387" priority="1531" operator="equal">
      <formula>"EXCEEDING 80% OF TOTAL TRAVEL COSTS"</formula>
    </cfRule>
  </conditionalFormatting>
  <conditionalFormatting sqref="H13 K13">
    <cfRule type="expression" dxfId="386" priority="1523">
      <formula>ISNUMBER(H13)=FALSE</formula>
    </cfRule>
  </conditionalFormatting>
  <conditionalFormatting sqref="F13:K13">
    <cfRule type="containsBlanks" dxfId="385" priority="448">
      <formula>LEN(TRIM(F13))=0</formula>
    </cfRule>
  </conditionalFormatting>
  <conditionalFormatting sqref="B13:C13">
    <cfRule type="containsBlanks" dxfId="384" priority="1515">
      <formula>LEN(TRIM(B13))=0</formula>
    </cfRule>
  </conditionalFormatting>
  <conditionalFormatting sqref="B14:C14">
    <cfRule type="containsBlanks" dxfId="383" priority="1514">
      <formula>LEN(TRIM(B14))=0</formula>
    </cfRule>
  </conditionalFormatting>
  <conditionalFormatting sqref="K13">
    <cfRule type="cellIs" dxfId="382" priority="443" operator="lessThan">
      <formula>0</formula>
    </cfRule>
    <cfRule type="cellIs" dxfId="381" priority="1528" operator="equal">
      <formula>0</formula>
    </cfRule>
  </conditionalFormatting>
  <conditionalFormatting sqref="H13">
    <cfRule type="cellIs" dxfId="380" priority="1519" operator="lessThanOrEqual">
      <formula>0</formula>
    </cfRule>
  </conditionalFormatting>
  <conditionalFormatting sqref="H14 K14">
    <cfRule type="expression" dxfId="379" priority="441">
      <formula>ISNUMBER(H14)=FALSE</formula>
    </cfRule>
  </conditionalFormatting>
  <conditionalFormatting sqref="F14:K14">
    <cfRule type="containsBlanks" dxfId="378" priority="439">
      <formula>LEN(TRIM(F14))=0</formula>
    </cfRule>
  </conditionalFormatting>
  <conditionalFormatting sqref="K14">
    <cfRule type="cellIs" dxfId="377" priority="438" operator="lessThan">
      <formula>0</formula>
    </cfRule>
    <cfRule type="cellIs" dxfId="376" priority="442" operator="equal">
      <formula>0</formula>
    </cfRule>
  </conditionalFormatting>
  <conditionalFormatting sqref="H14">
    <cfRule type="cellIs" dxfId="375" priority="440" operator="lessThanOrEqual">
      <formula>0</formula>
    </cfRule>
  </conditionalFormatting>
  <conditionalFormatting sqref="M14">
    <cfRule type="expression" dxfId="374" priority="421">
      <formula>AND(M14=0,L14&lt;&gt;"")</formula>
    </cfRule>
  </conditionalFormatting>
  <conditionalFormatting sqref="L14">
    <cfRule type="expression" dxfId="373" priority="423">
      <formula>AND(L14="",M14&gt;0)</formula>
    </cfRule>
  </conditionalFormatting>
  <conditionalFormatting sqref="L14:M14">
    <cfRule type="cellIs" dxfId="372" priority="424" operator="equal">
      <formula>0</formula>
    </cfRule>
  </conditionalFormatting>
  <conditionalFormatting sqref="M13">
    <cfRule type="expression" dxfId="371" priority="413">
      <formula>AND(M13=0,L13&lt;&gt;"")</formula>
    </cfRule>
  </conditionalFormatting>
  <conditionalFormatting sqref="L13">
    <cfRule type="expression" dxfId="370" priority="414">
      <formula>AND(L13="",M13&gt;0)</formula>
    </cfRule>
  </conditionalFormatting>
  <conditionalFormatting sqref="L13:M13">
    <cfRule type="cellIs" dxfId="369" priority="415" operator="equal">
      <formula>0</formula>
    </cfRule>
  </conditionalFormatting>
  <conditionalFormatting sqref="N14">
    <cfRule type="expression" dxfId="368" priority="401">
      <formula>ISNUMBER(N14)=FALSE</formula>
    </cfRule>
  </conditionalFormatting>
  <conditionalFormatting sqref="R13">
    <cfRule type="containsText" dxfId="367" priority="388" operator="containsText" text="Error">
      <formula>NOT(ISERROR(SEARCH("Error",R13)))</formula>
    </cfRule>
  </conditionalFormatting>
  <conditionalFormatting sqref="N13">
    <cfRule type="expression" dxfId="366" priority="387">
      <formula>ISNUMBER(N13)=FALSE</formula>
    </cfRule>
  </conditionalFormatting>
  <conditionalFormatting sqref="B20:C20">
    <cfRule type="containsBlanks" dxfId="338" priority="152">
      <formula>LEN(TRIM(B20))=0</formula>
    </cfRule>
  </conditionalFormatting>
  <conditionalFormatting sqref="B21:C21">
    <cfRule type="containsBlanks" dxfId="326" priority="140">
      <formula>LEN(TRIM(B21))=0</formula>
    </cfRule>
  </conditionalFormatting>
  <conditionalFormatting sqref="B22:C22">
    <cfRule type="containsBlanks" dxfId="314" priority="128">
      <formula>LEN(TRIM(B22))=0</formula>
    </cfRule>
  </conditionalFormatting>
  <conditionalFormatting sqref="D20:E20">
    <cfRule type="containsBlanks" dxfId="282" priority="156">
      <formula>LEN(TRIM(D20))=0</formula>
    </cfRule>
  </conditionalFormatting>
  <conditionalFormatting sqref="H20 K20">
    <cfRule type="expression" dxfId="281" priority="154">
      <formula>ISNUMBER(H20)=FALSE</formula>
    </cfRule>
  </conditionalFormatting>
  <conditionalFormatting sqref="F20:K20">
    <cfRule type="containsBlanks" dxfId="280" priority="151">
      <formula>LEN(TRIM(F20))=0</formula>
    </cfRule>
  </conditionalFormatting>
  <conditionalFormatting sqref="B23:C23">
    <cfRule type="containsBlanks" dxfId="279" priority="116">
      <formula>LEN(TRIM(B23))=0</formula>
    </cfRule>
  </conditionalFormatting>
  <conditionalFormatting sqref="K20">
    <cfRule type="cellIs" dxfId="278" priority="150" operator="lessThan">
      <formula>0</formula>
    </cfRule>
    <cfRule type="cellIs" dxfId="277" priority="155" operator="equal">
      <formula>0</formula>
    </cfRule>
  </conditionalFormatting>
  <conditionalFormatting sqref="H20">
    <cfRule type="cellIs" dxfId="276" priority="153" operator="lessThanOrEqual">
      <formula>0</formula>
    </cfRule>
  </conditionalFormatting>
  <conditionalFormatting sqref="M20">
    <cfRule type="expression" dxfId="275" priority="147">
      <formula>AND(M20=0,L20&lt;&gt;"")</formula>
    </cfRule>
  </conditionalFormatting>
  <conditionalFormatting sqref="L20">
    <cfRule type="expression" dxfId="274" priority="148">
      <formula>AND(L20="",M20&gt;0)</formula>
    </cfRule>
  </conditionalFormatting>
  <conditionalFormatting sqref="L20:M20">
    <cfRule type="cellIs" dxfId="273" priority="149" operator="equal">
      <formula>0</formula>
    </cfRule>
  </conditionalFormatting>
  <conditionalFormatting sqref="R20">
    <cfRule type="containsText" dxfId="272" priority="146" operator="containsText" text="Error">
      <formula>NOT(ISERROR(SEARCH("Error",R20)))</formula>
    </cfRule>
  </conditionalFormatting>
  <conditionalFormatting sqref="N20">
    <cfRule type="expression" dxfId="271" priority="145">
      <formula>ISNUMBER(N20)=FALSE</formula>
    </cfRule>
  </conditionalFormatting>
  <conditionalFormatting sqref="D21:E21">
    <cfRule type="containsBlanks" dxfId="270" priority="144">
      <formula>LEN(TRIM(D21))=0</formula>
    </cfRule>
  </conditionalFormatting>
  <conditionalFormatting sqref="H21 K21">
    <cfRule type="expression" dxfId="269" priority="142">
      <formula>ISNUMBER(H21)=FALSE</formula>
    </cfRule>
  </conditionalFormatting>
  <conditionalFormatting sqref="F21:K21">
    <cfRule type="containsBlanks" dxfId="268" priority="139">
      <formula>LEN(TRIM(F21))=0</formula>
    </cfRule>
  </conditionalFormatting>
  <conditionalFormatting sqref="K21">
    <cfRule type="cellIs" dxfId="267" priority="138" operator="lessThan">
      <formula>0</formula>
    </cfRule>
    <cfRule type="cellIs" dxfId="266" priority="143" operator="equal">
      <formula>0</formula>
    </cfRule>
  </conditionalFormatting>
  <conditionalFormatting sqref="H21">
    <cfRule type="cellIs" dxfId="265" priority="141" operator="lessThanOrEqual">
      <formula>0</formula>
    </cfRule>
  </conditionalFormatting>
  <conditionalFormatting sqref="M21">
    <cfRule type="expression" dxfId="264" priority="135">
      <formula>AND(M21=0,L21&lt;&gt;"")</formula>
    </cfRule>
  </conditionalFormatting>
  <conditionalFormatting sqref="L21">
    <cfRule type="expression" dxfId="263" priority="136">
      <formula>AND(L21="",M21&gt;0)</formula>
    </cfRule>
  </conditionalFormatting>
  <conditionalFormatting sqref="L21:M21">
    <cfRule type="cellIs" dxfId="262" priority="137" operator="equal">
      <formula>0</formula>
    </cfRule>
  </conditionalFormatting>
  <conditionalFormatting sqref="R21">
    <cfRule type="containsText" dxfId="261" priority="134" operator="containsText" text="Error">
      <formula>NOT(ISERROR(SEARCH("Error",R21)))</formula>
    </cfRule>
  </conditionalFormatting>
  <conditionalFormatting sqref="N21">
    <cfRule type="expression" dxfId="260" priority="133">
      <formula>ISNUMBER(N21)=FALSE</formula>
    </cfRule>
  </conditionalFormatting>
  <conditionalFormatting sqref="N22">
    <cfRule type="expression" dxfId="259" priority="121">
      <formula>ISNUMBER(N22)=FALSE</formula>
    </cfRule>
  </conditionalFormatting>
  <conditionalFormatting sqref="D22:E22">
    <cfRule type="containsBlanks" dxfId="257" priority="132">
      <formula>LEN(TRIM(D22))=0</formula>
    </cfRule>
  </conditionalFormatting>
  <conditionalFormatting sqref="H22 K22">
    <cfRule type="expression" dxfId="256" priority="130">
      <formula>ISNUMBER(H22)=FALSE</formula>
    </cfRule>
  </conditionalFormatting>
  <conditionalFormatting sqref="F22:K22">
    <cfRule type="containsBlanks" dxfId="255" priority="127">
      <formula>LEN(TRIM(F22))=0</formula>
    </cfRule>
  </conditionalFormatting>
  <conditionalFormatting sqref="B24:C24">
    <cfRule type="containsBlanks" dxfId="254" priority="104">
      <formula>LEN(TRIM(B24))=0</formula>
    </cfRule>
  </conditionalFormatting>
  <conditionalFormatting sqref="K22">
    <cfRule type="cellIs" dxfId="253" priority="126" operator="lessThan">
      <formula>0</formula>
    </cfRule>
    <cfRule type="cellIs" dxfId="252" priority="131" operator="equal">
      <formula>0</formula>
    </cfRule>
  </conditionalFormatting>
  <conditionalFormatting sqref="H22">
    <cfRule type="cellIs" dxfId="251" priority="129" operator="lessThanOrEqual">
      <formula>0</formula>
    </cfRule>
  </conditionalFormatting>
  <conditionalFormatting sqref="M22">
    <cfRule type="expression" dxfId="250" priority="123">
      <formula>AND(M22=0,L22&lt;&gt;"")</formula>
    </cfRule>
  </conditionalFormatting>
  <conditionalFormatting sqref="L22">
    <cfRule type="expression" dxfId="249" priority="124">
      <formula>AND(L22="",M22&gt;0)</formula>
    </cfRule>
  </conditionalFormatting>
  <conditionalFormatting sqref="L22:M22">
    <cfRule type="cellIs" dxfId="248" priority="125" operator="equal">
      <formula>0</formula>
    </cfRule>
  </conditionalFormatting>
  <conditionalFormatting sqref="R22">
    <cfRule type="containsText" dxfId="247" priority="122" operator="containsText" text="Error">
      <formula>NOT(ISERROR(SEARCH("Error",R22)))</formula>
    </cfRule>
  </conditionalFormatting>
  <conditionalFormatting sqref="N23">
    <cfRule type="expression" dxfId="246" priority="109">
      <formula>ISNUMBER(N23)=FALSE</formula>
    </cfRule>
  </conditionalFormatting>
  <conditionalFormatting sqref="N24">
    <cfRule type="expression" dxfId="235" priority="97">
      <formula>ISNUMBER(N24)=FALSE</formula>
    </cfRule>
  </conditionalFormatting>
  <conditionalFormatting sqref="D23:E23">
    <cfRule type="containsBlanks" dxfId="234" priority="120">
      <formula>LEN(TRIM(D23))=0</formula>
    </cfRule>
  </conditionalFormatting>
  <conditionalFormatting sqref="H23 K23">
    <cfRule type="expression" dxfId="233" priority="118">
      <formula>ISNUMBER(H23)=FALSE</formula>
    </cfRule>
  </conditionalFormatting>
  <conditionalFormatting sqref="F23:K23">
    <cfRule type="containsBlanks" dxfId="232" priority="115">
      <formula>LEN(TRIM(F23))=0</formula>
    </cfRule>
  </conditionalFormatting>
  <conditionalFormatting sqref="K23">
    <cfRule type="cellIs" dxfId="230" priority="114" operator="lessThan">
      <formula>0</formula>
    </cfRule>
    <cfRule type="cellIs" dxfId="229" priority="119" operator="equal">
      <formula>0</formula>
    </cfRule>
  </conditionalFormatting>
  <conditionalFormatting sqref="H23">
    <cfRule type="cellIs" dxfId="228" priority="117" operator="lessThanOrEqual">
      <formula>0</formula>
    </cfRule>
  </conditionalFormatting>
  <conditionalFormatting sqref="M23">
    <cfRule type="expression" dxfId="227" priority="111">
      <formula>AND(M23=0,L23&lt;&gt;"")</formula>
    </cfRule>
  </conditionalFormatting>
  <conditionalFormatting sqref="L23">
    <cfRule type="expression" dxfId="226" priority="112">
      <formula>AND(L23="",M23&gt;0)</formula>
    </cfRule>
  </conditionalFormatting>
  <conditionalFormatting sqref="L23:M23">
    <cfRule type="cellIs" dxfId="225" priority="113" operator="equal">
      <formula>0</formula>
    </cfRule>
  </conditionalFormatting>
  <conditionalFormatting sqref="R23">
    <cfRule type="containsText" dxfId="224" priority="110" operator="containsText" text="Error">
      <formula>NOT(ISERROR(SEARCH("Error",R23)))</formula>
    </cfRule>
  </conditionalFormatting>
  <conditionalFormatting sqref="D24:E24">
    <cfRule type="containsBlanks" dxfId="222" priority="108">
      <formula>LEN(TRIM(D24))=0</formula>
    </cfRule>
  </conditionalFormatting>
  <conditionalFormatting sqref="H24 K24">
    <cfRule type="expression" dxfId="221" priority="106">
      <formula>ISNUMBER(H24)=FALSE</formula>
    </cfRule>
  </conditionalFormatting>
  <conditionalFormatting sqref="F24:K24">
    <cfRule type="containsBlanks" dxfId="220" priority="103">
      <formula>LEN(TRIM(F24))=0</formula>
    </cfRule>
  </conditionalFormatting>
  <conditionalFormatting sqref="K24">
    <cfRule type="cellIs" dxfId="219" priority="102" operator="lessThan">
      <formula>0</formula>
    </cfRule>
    <cfRule type="cellIs" dxfId="218" priority="107" operator="equal">
      <formula>0</formula>
    </cfRule>
  </conditionalFormatting>
  <conditionalFormatting sqref="H24">
    <cfRule type="cellIs" dxfId="217" priority="105" operator="lessThanOrEqual">
      <formula>0</formula>
    </cfRule>
  </conditionalFormatting>
  <conditionalFormatting sqref="M24">
    <cfRule type="expression" dxfId="216" priority="99">
      <formula>AND(M24=0,L24&lt;&gt;"")</formula>
    </cfRule>
  </conditionalFormatting>
  <conditionalFormatting sqref="L24">
    <cfRule type="expression" dxfId="215" priority="100">
      <formula>AND(L24="",M24&gt;0)</formula>
    </cfRule>
  </conditionalFormatting>
  <conditionalFormatting sqref="L24:M24">
    <cfRule type="cellIs" dxfId="214" priority="101" operator="equal">
      <formula>0</formula>
    </cfRule>
  </conditionalFormatting>
  <conditionalFormatting sqref="R24">
    <cfRule type="containsText" dxfId="213" priority="98" operator="containsText" text="Error">
      <formula>NOT(ISERROR(SEARCH("Error",R24)))</formula>
    </cfRule>
  </conditionalFormatting>
  <conditionalFormatting sqref="N25">
    <cfRule type="expression" dxfId="202" priority="85">
      <formula>ISNUMBER(N25)=FALSE</formula>
    </cfRule>
  </conditionalFormatting>
  <conditionalFormatting sqref="B25:C25">
    <cfRule type="containsBlanks" dxfId="201" priority="92">
      <formula>LEN(TRIM(B25))=0</formula>
    </cfRule>
  </conditionalFormatting>
  <conditionalFormatting sqref="D25:E25">
    <cfRule type="containsBlanks" dxfId="200" priority="96">
      <formula>LEN(TRIM(D25))=0</formula>
    </cfRule>
  </conditionalFormatting>
  <conditionalFormatting sqref="H25 K25">
    <cfRule type="expression" dxfId="199" priority="94">
      <formula>ISNUMBER(H25)=FALSE</formula>
    </cfRule>
  </conditionalFormatting>
  <conditionalFormatting sqref="F25:K25">
    <cfRule type="containsBlanks" dxfId="198" priority="91">
      <formula>LEN(TRIM(F25))=0</formula>
    </cfRule>
  </conditionalFormatting>
  <conditionalFormatting sqref="K25">
    <cfRule type="cellIs" dxfId="197" priority="90" operator="lessThan">
      <formula>0</formula>
    </cfRule>
    <cfRule type="cellIs" dxfId="196" priority="95" operator="equal">
      <formula>0</formula>
    </cfRule>
  </conditionalFormatting>
  <conditionalFormatting sqref="H25">
    <cfRule type="cellIs" dxfId="195" priority="93" operator="lessThanOrEqual">
      <formula>0</formula>
    </cfRule>
  </conditionalFormatting>
  <conditionalFormatting sqref="M25">
    <cfRule type="expression" dxfId="194" priority="87">
      <formula>AND(M25=0,L25&lt;&gt;"")</formula>
    </cfRule>
  </conditionalFormatting>
  <conditionalFormatting sqref="L25">
    <cfRule type="expression" dxfId="193" priority="88">
      <formula>AND(L25="",M25&gt;0)</formula>
    </cfRule>
  </conditionalFormatting>
  <conditionalFormatting sqref="L25:M25">
    <cfRule type="cellIs" dxfId="192" priority="89" operator="equal">
      <formula>0</formula>
    </cfRule>
  </conditionalFormatting>
  <conditionalFormatting sqref="R25">
    <cfRule type="containsText" dxfId="191" priority="86" operator="containsText" text="Error">
      <formula>NOT(ISERROR(SEARCH("Error",R25)))</formula>
    </cfRule>
  </conditionalFormatting>
  <conditionalFormatting sqref="D15:E15">
    <cfRule type="containsBlanks" dxfId="190" priority="84">
      <formula>LEN(TRIM(D15))=0</formula>
    </cfRule>
  </conditionalFormatting>
  <conditionalFormatting sqref="H15 K15">
    <cfRule type="expression" dxfId="189" priority="82">
      <formula>ISNUMBER(H15)=FALSE</formula>
    </cfRule>
  </conditionalFormatting>
  <conditionalFormatting sqref="F15:K15">
    <cfRule type="containsBlanks" dxfId="188" priority="79">
      <formula>LEN(TRIM(F15))=0</formula>
    </cfRule>
  </conditionalFormatting>
  <conditionalFormatting sqref="B15:C15">
    <cfRule type="containsBlanks" dxfId="187" priority="80">
      <formula>LEN(TRIM(B15))=0</formula>
    </cfRule>
  </conditionalFormatting>
  <conditionalFormatting sqref="K15">
    <cfRule type="cellIs" dxfId="186" priority="78" operator="lessThan">
      <formula>0</formula>
    </cfRule>
    <cfRule type="cellIs" dxfId="185" priority="83" operator="equal">
      <formula>0</formula>
    </cfRule>
  </conditionalFormatting>
  <conditionalFormatting sqref="H15">
    <cfRule type="cellIs" dxfId="184" priority="81" operator="lessThanOrEqual">
      <formula>0</formula>
    </cfRule>
  </conditionalFormatting>
  <conditionalFormatting sqref="M15">
    <cfRule type="expression" dxfId="183" priority="75">
      <formula>AND(M15=0,L15&lt;&gt;"")</formula>
    </cfRule>
  </conditionalFormatting>
  <conditionalFormatting sqref="L15">
    <cfRule type="expression" dxfId="182" priority="76">
      <formula>AND(L15="",M15&gt;0)</formula>
    </cfRule>
  </conditionalFormatting>
  <conditionalFormatting sqref="L15:M15">
    <cfRule type="cellIs" dxfId="181" priority="77" operator="equal">
      <formula>0</formula>
    </cfRule>
  </conditionalFormatting>
  <conditionalFormatting sqref="R15">
    <cfRule type="containsText" dxfId="180" priority="74" operator="containsText" text="Error">
      <formula>NOT(ISERROR(SEARCH("Error",R15)))</formula>
    </cfRule>
  </conditionalFormatting>
  <conditionalFormatting sqref="N15">
    <cfRule type="expression" dxfId="179" priority="73">
      <formula>ISNUMBER(N15)=FALSE</formula>
    </cfRule>
  </conditionalFormatting>
  <conditionalFormatting sqref="D16:E16">
    <cfRule type="containsBlanks" dxfId="178" priority="72">
      <formula>LEN(TRIM(D16))=0</formula>
    </cfRule>
  </conditionalFormatting>
  <conditionalFormatting sqref="H16 K16">
    <cfRule type="expression" dxfId="177" priority="70">
      <formula>ISNUMBER(H16)=FALSE</formula>
    </cfRule>
  </conditionalFormatting>
  <conditionalFormatting sqref="F16:K16">
    <cfRule type="containsBlanks" dxfId="176" priority="67">
      <formula>LEN(TRIM(F16))=0</formula>
    </cfRule>
  </conditionalFormatting>
  <conditionalFormatting sqref="B16:C16">
    <cfRule type="containsBlanks" dxfId="175" priority="68">
      <formula>LEN(TRIM(B16))=0</formula>
    </cfRule>
  </conditionalFormatting>
  <conditionalFormatting sqref="K16">
    <cfRule type="cellIs" dxfId="174" priority="66" operator="lessThan">
      <formula>0</formula>
    </cfRule>
    <cfRule type="cellIs" dxfId="173" priority="71" operator="equal">
      <formula>0</formula>
    </cfRule>
  </conditionalFormatting>
  <conditionalFormatting sqref="H16">
    <cfRule type="cellIs" dxfId="172" priority="69" operator="lessThanOrEqual">
      <formula>0</formula>
    </cfRule>
  </conditionalFormatting>
  <conditionalFormatting sqref="M16">
    <cfRule type="expression" dxfId="171" priority="63">
      <formula>AND(M16=0,L16&lt;&gt;"")</formula>
    </cfRule>
  </conditionalFormatting>
  <conditionalFormatting sqref="L16">
    <cfRule type="expression" dxfId="170" priority="64">
      <formula>AND(L16="",M16&gt;0)</formula>
    </cfRule>
  </conditionalFormatting>
  <conditionalFormatting sqref="L16:M16">
    <cfRule type="cellIs" dxfId="169" priority="65" operator="equal">
      <formula>0</formula>
    </cfRule>
  </conditionalFormatting>
  <conditionalFormatting sqref="R16">
    <cfRule type="containsText" dxfId="168" priority="62" operator="containsText" text="Error">
      <formula>NOT(ISERROR(SEARCH("Error",R16)))</formula>
    </cfRule>
  </conditionalFormatting>
  <conditionalFormatting sqref="N16">
    <cfRule type="expression" dxfId="167" priority="61">
      <formula>ISNUMBER(N16)=FALSE</formula>
    </cfRule>
  </conditionalFormatting>
  <conditionalFormatting sqref="D19:E19">
    <cfRule type="containsBlanks" dxfId="166" priority="60">
      <formula>LEN(TRIM(D19))=0</formula>
    </cfRule>
  </conditionalFormatting>
  <conditionalFormatting sqref="H19 K19">
    <cfRule type="expression" dxfId="165" priority="58">
      <formula>ISNUMBER(H19)=FALSE</formula>
    </cfRule>
  </conditionalFormatting>
  <conditionalFormatting sqref="F19:K19">
    <cfRule type="containsBlanks" dxfId="164" priority="55">
      <formula>LEN(TRIM(F19))=0</formula>
    </cfRule>
  </conditionalFormatting>
  <conditionalFormatting sqref="B19:C19">
    <cfRule type="containsBlanks" dxfId="163" priority="56">
      <formula>LEN(TRIM(B19))=0</formula>
    </cfRule>
  </conditionalFormatting>
  <conditionalFormatting sqref="K19">
    <cfRule type="cellIs" dxfId="162" priority="54" operator="lessThan">
      <formula>0</formula>
    </cfRule>
    <cfRule type="cellIs" dxfId="161" priority="59" operator="equal">
      <formula>0</formula>
    </cfRule>
  </conditionalFormatting>
  <conditionalFormatting sqref="H19">
    <cfRule type="cellIs" dxfId="160" priority="57" operator="lessThanOrEqual">
      <formula>0</formula>
    </cfRule>
  </conditionalFormatting>
  <conditionalFormatting sqref="M19">
    <cfRule type="expression" dxfId="159" priority="51">
      <formula>AND(M19=0,L19&lt;&gt;"")</formula>
    </cfRule>
  </conditionalFormatting>
  <conditionalFormatting sqref="L19">
    <cfRule type="expression" dxfId="158" priority="52">
      <formula>AND(L19="",M19&gt;0)</formula>
    </cfRule>
  </conditionalFormatting>
  <conditionalFormatting sqref="L19:M19">
    <cfRule type="cellIs" dxfId="157" priority="53" operator="equal">
      <formula>0</formula>
    </cfRule>
  </conditionalFormatting>
  <conditionalFormatting sqref="R19">
    <cfRule type="containsText" dxfId="156" priority="50" operator="containsText" text="Error">
      <formula>NOT(ISERROR(SEARCH("Error",R19)))</formula>
    </cfRule>
  </conditionalFormatting>
  <conditionalFormatting sqref="N19">
    <cfRule type="expression" dxfId="155" priority="49">
      <formula>ISNUMBER(N19)=FALSE</formula>
    </cfRule>
  </conditionalFormatting>
  <conditionalFormatting sqref="D17:E17">
    <cfRule type="containsBlanks" dxfId="154" priority="48">
      <formula>LEN(TRIM(D17))=0</formula>
    </cfRule>
  </conditionalFormatting>
  <conditionalFormatting sqref="H17 K17">
    <cfRule type="expression" dxfId="153" priority="46">
      <formula>ISNUMBER(H17)=FALSE</formula>
    </cfRule>
  </conditionalFormatting>
  <conditionalFormatting sqref="F17:K17">
    <cfRule type="containsBlanks" dxfId="152" priority="43">
      <formula>LEN(TRIM(F17))=0</formula>
    </cfRule>
  </conditionalFormatting>
  <conditionalFormatting sqref="B17:C17">
    <cfRule type="containsBlanks" dxfId="151" priority="44">
      <formula>LEN(TRIM(B17))=0</formula>
    </cfRule>
  </conditionalFormatting>
  <conditionalFormatting sqref="K17">
    <cfRule type="cellIs" dxfId="150" priority="42" operator="lessThan">
      <formula>0</formula>
    </cfRule>
    <cfRule type="cellIs" dxfId="149" priority="47" operator="equal">
      <formula>0</formula>
    </cfRule>
  </conditionalFormatting>
  <conditionalFormatting sqref="H17">
    <cfRule type="cellIs" dxfId="148" priority="45" operator="lessThanOrEqual">
      <formula>0</formula>
    </cfRule>
  </conditionalFormatting>
  <conditionalFormatting sqref="M17">
    <cfRule type="expression" dxfId="147" priority="39">
      <formula>AND(M17=0,L17&lt;&gt;"")</formula>
    </cfRule>
  </conditionalFormatting>
  <conditionalFormatting sqref="L17">
    <cfRule type="expression" dxfId="146" priority="40">
      <formula>AND(L17="",M17&gt;0)</formula>
    </cfRule>
  </conditionalFormatting>
  <conditionalFormatting sqref="L17:M17">
    <cfRule type="cellIs" dxfId="145" priority="41" operator="equal">
      <formula>0</formula>
    </cfRule>
  </conditionalFormatting>
  <conditionalFormatting sqref="R17">
    <cfRule type="containsText" dxfId="144" priority="38" operator="containsText" text="Error">
      <formula>NOT(ISERROR(SEARCH("Error",R17)))</formula>
    </cfRule>
  </conditionalFormatting>
  <conditionalFormatting sqref="N17">
    <cfRule type="expression" dxfId="143" priority="37">
      <formula>ISNUMBER(N17)=FALSE</formula>
    </cfRule>
  </conditionalFormatting>
  <conditionalFormatting sqref="D18:E18">
    <cfRule type="containsBlanks" dxfId="142" priority="36">
      <formula>LEN(TRIM(D18))=0</formula>
    </cfRule>
  </conditionalFormatting>
  <conditionalFormatting sqref="H18 K18">
    <cfRule type="expression" dxfId="141" priority="34">
      <formula>ISNUMBER(H18)=FALSE</formula>
    </cfRule>
  </conditionalFormatting>
  <conditionalFormatting sqref="F18:K18">
    <cfRule type="containsBlanks" dxfId="140" priority="31">
      <formula>LEN(TRIM(F18))=0</formula>
    </cfRule>
  </conditionalFormatting>
  <conditionalFormatting sqref="B18:C18">
    <cfRule type="containsBlanks" dxfId="139" priority="32">
      <formula>LEN(TRIM(B18))=0</formula>
    </cfRule>
  </conditionalFormatting>
  <conditionalFormatting sqref="K18">
    <cfRule type="cellIs" dxfId="138" priority="30" operator="lessThan">
      <formula>0</formula>
    </cfRule>
    <cfRule type="cellIs" dxfId="137" priority="35" operator="equal">
      <formula>0</formula>
    </cfRule>
  </conditionalFormatting>
  <conditionalFormatting sqref="H18">
    <cfRule type="cellIs" dxfId="136" priority="33" operator="lessThanOrEqual">
      <formula>0</formula>
    </cfRule>
  </conditionalFormatting>
  <conditionalFormatting sqref="M18">
    <cfRule type="expression" dxfId="135" priority="27">
      <formula>AND(M18=0,L18&lt;&gt;"")</formula>
    </cfRule>
  </conditionalFormatting>
  <conditionalFormatting sqref="L18">
    <cfRule type="expression" dxfId="134" priority="28">
      <formula>AND(L18="",M18&gt;0)</formula>
    </cfRule>
  </conditionalFormatting>
  <conditionalFormatting sqref="L18:M18">
    <cfRule type="cellIs" dxfId="133" priority="29" operator="equal">
      <formula>0</formula>
    </cfRule>
  </conditionalFormatting>
  <conditionalFormatting sqref="R18">
    <cfRule type="containsText" dxfId="132" priority="26" operator="containsText" text="Error">
      <formula>NOT(ISERROR(SEARCH("Error",R18)))</formula>
    </cfRule>
  </conditionalFormatting>
  <conditionalFormatting sqref="N18">
    <cfRule type="expression" dxfId="131" priority="25">
      <formula>ISNUMBER(N18)=FALSE</formula>
    </cfRule>
  </conditionalFormatting>
  <conditionalFormatting sqref="D26:E26">
    <cfRule type="containsBlanks" dxfId="130" priority="24">
      <formula>LEN(TRIM(D26))=0</formula>
    </cfRule>
  </conditionalFormatting>
  <conditionalFormatting sqref="H26 K26">
    <cfRule type="expression" dxfId="129" priority="22">
      <formula>ISNUMBER(H26)=FALSE</formula>
    </cfRule>
  </conditionalFormatting>
  <conditionalFormatting sqref="F26:K26">
    <cfRule type="containsBlanks" dxfId="128" priority="19">
      <formula>LEN(TRIM(F26))=0</formula>
    </cfRule>
  </conditionalFormatting>
  <conditionalFormatting sqref="B26:C26">
    <cfRule type="containsBlanks" dxfId="127" priority="20">
      <formula>LEN(TRIM(B26))=0</formula>
    </cfRule>
  </conditionalFormatting>
  <conditionalFormatting sqref="K26">
    <cfRule type="cellIs" dxfId="126" priority="18" operator="lessThan">
      <formula>0</formula>
    </cfRule>
    <cfRule type="cellIs" dxfId="125" priority="23" operator="equal">
      <formula>0</formula>
    </cfRule>
  </conditionalFormatting>
  <conditionalFormatting sqref="H26">
    <cfRule type="cellIs" dxfId="124" priority="21" operator="lessThanOrEqual">
      <formula>0</formula>
    </cfRule>
  </conditionalFormatting>
  <conditionalFormatting sqref="M26">
    <cfRule type="expression" dxfId="123" priority="15">
      <formula>AND(M26=0,L26&lt;&gt;"")</formula>
    </cfRule>
  </conditionalFormatting>
  <conditionalFormatting sqref="L26">
    <cfRule type="expression" dxfId="122" priority="16">
      <formula>AND(L26="",M26&gt;0)</formula>
    </cfRule>
  </conditionalFormatting>
  <conditionalFormatting sqref="L26:M26">
    <cfRule type="cellIs" dxfId="121" priority="17" operator="equal">
      <formula>0</formula>
    </cfRule>
  </conditionalFormatting>
  <conditionalFormatting sqref="R26">
    <cfRule type="containsText" dxfId="120" priority="14" operator="containsText" text="Error">
      <formula>NOT(ISERROR(SEARCH("Error",R26)))</formula>
    </cfRule>
  </conditionalFormatting>
  <conditionalFormatting sqref="N26">
    <cfRule type="expression" dxfId="119" priority="13">
      <formula>ISNUMBER(N26)=FALSE</formula>
    </cfRule>
  </conditionalFormatting>
  <conditionalFormatting sqref="D27:E27">
    <cfRule type="containsBlanks" dxfId="11" priority="12">
      <formula>LEN(TRIM(D27))=0</formula>
    </cfRule>
  </conditionalFormatting>
  <conditionalFormatting sqref="H27 K27">
    <cfRule type="expression" dxfId="10" priority="10">
      <formula>ISNUMBER(H27)=FALSE</formula>
    </cfRule>
  </conditionalFormatting>
  <conditionalFormatting sqref="F27:K27">
    <cfRule type="containsBlanks" dxfId="9" priority="7">
      <formula>LEN(TRIM(F27))=0</formula>
    </cfRule>
  </conditionalFormatting>
  <conditionalFormatting sqref="B27:C27">
    <cfRule type="containsBlanks" dxfId="8" priority="8">
      <formula>LEN(TRIM(B27))=0</formula>
    </cfRule>
  </conditionalFormatting>
  <conditionalFormatting sqref="K27">
    <cfRule type="cellIs" dxfId="7" priority="6" operator="lessThan">
      <formula>0</formula>
    </cfRule>
    <cfRule type="cellIs" dxfId="6" priority="11" operator="equal">
      <formula>0</formula>
    </cfRule>
  </conditionalFormatting>
  <conditionalFormatting sqref="H27">
    <cfRule type="cellIs" dxfId="5" priority="9" operator="lessThanOrEqual">
      <formula>0</formula>
    </cfRule>
  </conditionalFormatting>
  <conditionalFormatting sqref="M27">
    <cfRule type="expression" dxfId="4" priority="3">
      <formula>AND(M27=0,L27&lt;&gt;"")</formula>
    </cfRule>
  </conditionalFormatting>
  <conditionalFormatting sqref="L27">
    <cfRule type="expression" dxfId="3" priority="4">
      <formula>AND(L27="",M27&gt;0)</formula>
    </cfRule>
  </conditionalFormatting>
  <conditionalFormatting sqref="L27:M27">
    <cfRule type="cellIs" dxfId="2" priority="5" operator="equal">
      <formula>0</formula>
    </cfRule>
  </conditionalFormatting>
  <conditionalFormatting sqref="R27">
    <cfRule type="containsText" dxfId="1" priority="2" operator="containsText" text="Error">
      <formula>NOT(ISERROR(SEARCH("Error",R27)))</formula>
    </cfRule>
  </conditionalFormatting>
  <conditionalFormatting sqref="N27">
    <cfRule type="expression" dxfId="0" priority="1">
      <formula>ISNUMBER(N27)=FALSE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7" xr:uid="{00000000-0002-0000-0300-000000000000}"/>
    <dataValidation allowBlank="1" showInputMessage="1" showErrorMessage="1" error="Please encode City of Destination" prompt="Please encode City of Destination" sqref="I13:I27" xr:uid="{00000000-0002-0000-0300-000001000000}"/>
    <dataValidation type="whole" allowBlank="1" showInputMessage="1" showErrorMessage="1" error="Format error (whole number only)" prompt="Please encode number (whole number only)" sqref="H13:H27" xr:uid="{00000000-0002-0000-0300-000002000000}">
      <formula1>0</formula1>
      <formula2>50000</formula2>
    </dataValidation>
    <dataValidation allowBlank="1" showInputMessage="1" showErrorMessage="1" error="Please encode City of Departure" prompt="Please encode City of Departure" sqref="F13:F27"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27" xr:uid="{00000000-0002-0000-0300-000004000000}">
      <formula1>0</formula1>
      <formula2>90</formula2>
    </dataValidation>
    <dataValidation type="list" allowBlank="1" showInputMessage="1" showErrorMessage="1" error="Click arrow to select Category" prompt="Click arrow to select Category" sqref="G13:G27" xr:uid="{00000000-0002-0000-0300-000005000000}">
      <formula1>Category2</formula1>
    </dataValidation>
    <dataValidation type="list" allowBlank="1" showInputMessage="1" showErrorMessage="1" error="Click arrow to select Work Package" prompt="Click arrow to select Work Package" sqref="B13:B27" xr:uid="{00000000-0002-0000-0300-000006000000}">
      <formula1>WorkPackage</formula1>
    </dataValidation>
    <dataValidation type="list" allowBlank="1" showInputMessage="1" showErrorMessage="1" error="Click arrow to select Distance" prompt="Click arrow to select Distance" sqref="J13:J27" xr:uid="{00000000-0002-0000-0300-000007000000}">
      <formula1>TravelBands</formula1>
    </dataValidation>
    <dataValidation type="list" allowBlank="1" showInputMessage="1" showErrorMessage="1" error="Click arrow to select Partner N°" prompt="Click arrow to select Partner N°" sqref="C13:C27" xr:uid="{00000000-0002-0000-0300-000008000000}">
      <formula1>PartnerN°</formula1>
    </dataValidation>
    <dataValidation type="list" allowBlank="1" showInputMessage="1" showErrorMessage="1" errorTitle="Select correct option" error="Please use the drop down menu to select the correct option" sqref="L13:L27" xr:uid="{00000000-0002-0000-0300-000009000000}">
      <formula1>Exceptional_costs</formula1>
    </dataValidation>
    <dataValidation type="decimal" operator="greaterThanOrEqual" allowBlank="1" showInputMessage="1" showErrorMessage="1" errorTitle="Warning: Cost must be number" error="Please enter a numeric value." sqref="M13:M27"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zoomScale="70" zoomScaleNormal="70" zoomScaleSheetLayoutView="55" workbookViewId="0">
      <pane ySplit="13" topLeftCell="A14" activePane="bottomLeft" state="frozen"/>
      <selection pane="bottomLeft" activeCell="F14" sqref="F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144500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ht="90" x14ac:dyDescent="0.3">
      <c r="B14" s="18" t="s">
        <v>172</v>
      </c>
      <c r="C14" s="23" t="s">
        <v>11</v>
      </c>
      <c r="D14" s="46" t="str">
        <f>IFERROR(IF(VLOOKUP(C14,PartnerN°Ref,2,FALSE)=0,"",VLOOKUP(C14,PartnerN°Ref,2,FALSE)),"")</f>
        <v>University of Cape Town</v>
      </c>
      <c r="E14" s="46" t="str">
        <f>IFERROR(IF(OR(VLOOKUP(C14,PartnerN°Ref,4,FALSE)="Country not found",VLOOKUP(C14,PartnerN°Ref,3,FALSE)=0),"",VLOOKUP(C14,PartnerN°Ref,3,FALSE)),"")</f>
        <v>South Africa</v>
      </c>
      <c r="F14" s="22" t="s">
        <v>378</v>
      </c>
      <c r="G14" s="39">
        <v>45000</v>
      </c>
      <c r="H14" s="40">
        <f>IF(I14="Error",0,ROUND(G14,2))</f>
        <v>45000</v>
      </c>
      <c r="I14" s="37" t="str">
        <f>IF(OR(COUNTIF(WorkPackage,B14)=0,COUNTIF(PartnerN°,C14)=0,D14="",COUNTIF(CountryEligEquip,E14)=0,F14="",ISNUMBER(G14)=FALSE,IF(ISNUMBER(G14)=TRUE,G14=INT(G14*100)/100=FALSE)),"Error","")</f>
        <v/>
      </c>
    </row>
    <row r="15" spans="2:9" s="38" customFormat="1" ht="90" x14ac:dyDescent="0.3">
      <c r="B15" s="18" t="s">
        <v>172</v>
      </c>
      <c r="C15" s="23" t="s">
        <v>14</v>
      </c>
      <c r="D15" s="46" t="str">
        <f>IFERROR(IF(VLOOKUP(C15,PartnerN°Ref,2,FALSE)=0,"",VLOOKUP(C15,PartnerN°Ref,2,FALSE)),"")</f>
        <v>Tsinghua University</v>
      </c>
      <c r="E15" s="46" t="str">
        <f>IFERROR(IF(OR(VLOOKUP(C15,PartnerN°Ref,4,FALSE)="Country not found",VLOOKUP(C15,PartnerN°Ref,3,FALSE)=0),"",VLOOKUP(C15,PartnerN°Ref,3,FALSE)),"")</f>
        <v>China</v>
      </c>
      <c r="F15" s="22" t="s">
        <v>380</v>
      </c>
      <c r="G15" s="39">
        <v>50000</v>
      </c>
      <c r="H15" s="40">
        <f>IF(I15="Error",0,ROUND(G15,2))</f>
        <v>50000</v>
      </c>
      <c r="I15" s="37" t="str">
        <f>IF(OR(COUNTIF(WorkPackage,B15)=0,COUNTIF(PartnerN°,C15)=0,D15="",COUNTIF(CountryEligEquip,E15)=0,F15="",ISNUMBER(G15)=FALSE,IF(ISNUMBER(G15)=TRUE,G15=INT(G15*100)/100=FALSE)),"Error","")</f>
        <v/>
      </c>
    </row>
    <row r="16" spans="2:9" s="38" customFormat="1" ht="72" x14ac:dyDescent="0.3">
      <c r="B16" s="18" t="s">
        <v>172</v>
      </c>
      <c r="C16" s="23" t="s">
        <v>13</v>
      </c>
      <c r="D16" s="46" t="str">
        <f>IFERROR(IF(VLOOKUP(C16,PartnerN°Ref,2,FALSE)=0,"",VLOOKUP(C16,PartnerN°Ref,2,FALSE)),"")</f>
        <v>IIT Bombay</v>
      </c>
      <c r="E16" s="46" t="str">
        <f>IFERROR(IF(OR(VLOOKUP(C16,PartnerN°Ref,4,FALSE)="Country not found",VLOOKUP(C16,PartnerN°Ref,3,FALSE)=0),"",VLOOKUP(C16,PartnerN°Ref,3,FALSE)),"")</f>
        <v>India</v>
      </c>
      <c r="F16" s="22" t="s">
        <v>379</v>
      </c>
      <c r="G16" s="39">
        <v>30000</v>
      </c>
      <c r="H16" s="40">
        <f>IF(I16="Error",0,ROUND(G16,2))</f>
        <v>30000</v>
      </c>
      <c r="I16" s="37" t="str">
        <f>IF(OR(COUNTIF(WorkPackage,B16)=0,COUNTIF(PartnerN°,C16)=0,D16="",COUNTIF(CountryEligEquip,E16)=0,F16="",ISNUMBER(G16)=FALSE,IF(ISNUMBER(G16)=TRUE,G16=INT(G16*100)/100=FALSE)),"Error","")</f>
        <v/>
      </c>
    </row>
    <row r="17" spans="2:9" s="38" customFormat="1" ht="90" x14ac:dyDescent="0.3">
      <c r="B17" s="18" t="s">
        <v>173</v>
      </c>
      <c r="C17" s="23" t="s">
        <v>11</v>
      </c>
      <c r="D17" s="46" t="str">
        <f>IFERROR(IF(VLOOKUP(C17,PartnerN°Ref,2,FALSE)=0,"",VLOOKUP(C17,PartnerN°Ref,2,FALSE)),"")</f>
        <v>University of Cape Town</v>
      </c>
      <c r="E17" s="46" t="str">
        <f>IFERROR(IF(OR(VLOOKUP(C17,PartnerN°Ref,4,FALSE)="Country not found",VLOOKUP(C17,PartnerN°Ref,3,FALSE)=0),"",VLOOKUP(C17,PartnerN°Ref,3,FALSE)),"")</f>
        <v>South Africa</v>
      </c>
      <c r="F17" s="22" t="s">
        <v>406</v>
      </c>
      <c r="G17" s="39">
        <v>10000</v>
      </c>
      <c r="H17" s="40">
        <f>IF(I17="Error",0,ROUND(G17,2))</f>
        <v>10000</v>
      </c>
      <c r="I17" s="37" t="str">
        <f>IF(OR(COUNTIF(WorkPackage,B17)=0,COUNTIF(PartnerN°,C17)=0,D17="",COUNTIF(CountryEligEquip,E17)=0,F17="",ISNUMBER(G17)=FALSE,IF(ISNUMBER(G17)=TRUE,G17=INT(G17*100)/100=FALSE)),"Error","")</f>
        <v/>
      </c>
    </row>
    <row r="18" spans="2:9" s="38" customFormat="1" ht="72" x14ac:dyDescent="0.3">
      <c r="B18" s="18" t="s">
        <v>173</v>
      </c>
      <c r="C18" s="23" t="s">
        <v>13</v>
      </c>
      <c r="D18" s="46" t="str">
        <f>IFERROR(IF(VLOOKUP(C18,PartnerN°Ref,2,FALSE)=0,"",VLOOKUP(C18,PartnerN°Ref,2,FALSE)),"")</f>
        <v>IIT Bombay</v>
      </c>
      <c r="E18" s="46" t="str">
        <f>IFERROR(IF(OR(VLOOKUP(C18,PartnerN°Ref,4,FALSE)="Country not found",VLOOKUP(C18,PartnerN°Ref,3,FALSE)=0),"",VLOOKUP(C18,PartnerN°Ref,3,FALSE)),"")</f>
        <v>India</v>
      </c>
      <c r="F18" s="22" t="s">
        <v>407</v>
      </c>
      <c r="G18" s="39">
        <v>9500</v>
      </c>
      <c r="H18" s="40">
        <f>IF(I18="Error",0,ROUND(G18,2))</f>
        <v>9500</v>
      </c>
      <c r="I18" s="37" t="str">
        <f>IF(OR(COUNTIF(WorkPackage,B18)=0,COUNTIF(PartnerN°,C18)=0,D18="",COUNTIF(CountryEligEquip,E18)=0,F18="",ISNUMBER(G18)=FALSE,IF(ISNUMBER(G18)=TRUE,G18=INT(G18*100)/100=FALSE)),"Error","")</f>
        <v/>
      </c>
    </row>
  </sheetData>
  <sheetProtection algorithmName="SHA-512" hashValue="a+0Rpiv6OeW4Nu+Q5infn/ghps+RgM6jcfkIvQA7/7D4Ncug5Z1j1OOqNdZdJVGlNeBvy7xQRhOYbJl0i3G9kQ==" saltValue="ckIJ14O/PEQE765BnXyTJw=="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18" priority="410" operator="containsText" text="Error">
      <formula>NOT(ISERROR(SEARCH("Error",I13)))</formula>
    </cfRule>
  </conditionalFormatting>
  <conditionalFormatting sqref="D13:E14">
    <cfRule type="containsBlanks" dxfId="117" priority="405">
      <formula>LEN(TRIM(D13))=0</formula>
    </cfRule>
  </conditionalFormatting>
  <conditionalFormatting sqref="E13">
    <cfRule type="expression" dxfId="116" priority="327">
      <formula>COUNTIF(CountryEligEquip,E13)=0</formula>
    </cfRule>
  </conditionalFormatting>
  <conditionalFormatting sqref="E14">
    <cfRule type="expression" dxfId="115" priority="328">
      <formula>COUNTIF(CountryEligEquip,E14)=0</formula>
    </cfRule>
  </conditionalFormatting>
  <conditionalFormatting sqref="G13">
    <cfRule type="cellIs" dxfId="114" priority="56" operator="lessThanOrEqual">
      <formula>0</formula>
    </cfRule>
  </conditionalFormatting>
  <conditionalFormatting sqref="F13:G13">
    <cfRule type="containsBlanks" dxfId="113" priority="53">
      <formula>LEN(TRIM(F13))=0</formula>
    </cfRule>
  </conditionalFormatting>
  <conditionalFormatting sqref="G14">
    <cfRule type="cellIs" dxfId="112" priority="52" operator="lessThanOrEqual">
      <formula>0</formula>
    </cfRule>
  </conditionalFormatting>
  <conditionalFormatting sqref="F14:G14">
    <cfRule type="containsBlanks" dxfId="111" priority="51">
      <formula>LEN(TRIM(F14))=0</formula>
    </cfRule>
  </conditionalFormatting>
  <conditionalFormatting sqref="B13:C13">
    <cfRule type="containsBlanks" dxfId="110" priority="50">
      <formula>LEN(TRIM(B13))=0</formula>
    </cfRule>
  </conditionalFormatting>
  <conditionalFormatting sqref="B14:C14">
    <cfRule type="containsBlanks" dxfId="109" priority="49">
      <formula>LEN(TRIM(B14))=0</formula>
    </cfRule>
  </conditionalFormatting>
  <conditionalFormatting sqref="I16">
    <cfRule type="containsText" dxfId="108" priority="42" operator="containsText" text="Error">
      <formula>NOT(ISERROR(SEARCH("Error",I16)))</formula>
    </cfRule>
  </conditionalFormatting>
  <conditionalFormatting sqref="D16:E16">
    <cfRule type="containsBlanks" dxfId="107" priority="41">
      <formula>LEN(TRIM(D16))=0</formula>
    </cfRule>
  </conditionalFormatting>
  <conditionalFormatting sqref="E16">
    <cfRule type="expression" dxfId="106" priority="40">
      <formula>COUNTIF(CountryEligEquip,E16)=0</formula>
    </cfRule>
  </conditionalFormatting>
  <conditionalFormatting sqref="G16">
    <cfRule type="cellIs" dxfId="105" priority="39" operator="lessThanOrEqual">
      <formula>0</formula>
    </cfRule>
  </conditionalFormatting>
  <conditionalFormatting sqref="F16:G16">
    <cfRule type="containsBlanks" dxfId="104" priority="38">
      <formula>LEN(TRIM(F16))=0</formula>
    </cfRule>
  </conditionalFormatting>
  <conditionalFormatting sqref="B16:C16">
    <cfRule type="containsBlanks" dxfId="103" priority="37">
      <formula>LEN(TRIM(B16))=0</formula>
    </cfRule>
  </conditionalFormatting>
  <conditionalFormatting sqref="I15">
    <cfRule type="containsText" dxfId="102" priority="36" operator="containsText" text="Error">
      <formula>NOT(ISERROR(SEARCH("Error",I15)))</formula>
    </cfRule>
  </conditionalFormatting>
  <conditionalFormatting sqref="D15:E15">
    <cfRule type="containsBlanks" dxfId="101" priority="35">
      <formula>LEN(TRIM(D15))=0</formula>
    </cfRule>
  </conditionalFormatting>
  <conditionalFormatting sqref="E15">
    <cfRule type="expression" dxfId="100" priority="34">
      <formula>COUNTIF(CountryEligEquip,E15)=0</formula>
    </cfRule>
  </conditionalFormatting>
  <conditionalFormatting sqref="G15">
    <cfRule type="cellIs" dxfId="99" priority="33" operator="lessThanOrEqual">
      <formula>0</formula>
    </cfRule>
  </conditionalFormatting>
  <conditionalFormatting sqref="F15:G15">
    <cfRule type="containsBlanks" dxfId="98" priority="32">
      <formula>LEN(TRIM(F15))=0</formula>
    </cfRule>
  </conditionalFormatting>
  <conditionalFormatting sqref="B15:C15">
    <cfRule type="containsBlanks" dxfId="97" priority="31">
      <formula>LEN(TRIM(B15))=0</formula>
    </cfRule>
  </conditionalFormatting>
  <conditionalFormatting sqref="I17">
    <cfRule type="containsText" dxfId="96" priority="18" operator="containsText" text="Error">
      <formula>NOT(ISERROR(SEARCH("Error",I17)))</formula>
    </cfRule>
  </conditionalFormatting>
  <conditionalFormatting sqref="D17:E17">
    <cfRule type="containsBlanks" dxfId="95" priority="17">
      <formula>LEN(TRIM(D17))=0</formula>
    </cfRule>
  </conditionalFormatting>
  <conditionalFormatting sqref="E17">
    <cfRule type="expression" dxfId="94" priority="16">
      <formula>COUNTIF(CountryEligEquip,E17)=0</formula>
    </cfRule>
  </conditionalFormatting>
  <conditionalFormatting sqref="G17">
    <cfRule type="cellIs" dxfId="93" priority="15" operator="lessThanOrEqual">
      <formula>0</formula>
    </cfRule>
  </conditionalFormatting>
  <conditionalFormatting sqref="F17:G17">
    <cfRule type="containsBlanks" dxfId="92" priority="14">
      <formula>LEN(TRIM(F17))=0</formula>
    </cfRule>
  </conditionalFormatting>
  <conditionalFormatting sqref="B17:C17">
    <cfRule type="containsBlanks" dxfId="91" priority="13">
      <formula>LEN(TRIM(B17))=0</formula>
    </cfRule>
  </conditionalFormatting>
  <conditionalFormatting sqref="I18">
    <cfRule type="containsText" dxfId="90" priority="6" operator="containsText" text="Error">
      <formula>NOT(ISERROR(SEARCH("Error",I18)))</formula>
    </cfRule>
  </conditionalFormatting>
  <conditionalFormatting sqref="D18:E18">
    <cfRule type="containsBlanks" dxfId="89" priority="5">
      <formula>LEN(TRIM(D18))=0</formula>
    </cfRule>
  </conditionalFormatting>
  <conditionalFormatting sqref="E18">
    <cfRule type="expression" dxfId="88" priority="4">
      <formula>COUNTIF(CountryEligEquip,E18)=0</formula>
    </cfRule>
  </conditionalFormatting>
  <conditionalFormatting sqref="G18">
    <cfRule type="cellIs" dxfId="87" priority="3" operator="lessThanOrEqual">
      <formula>0</formula>
    </cfRule>
  </conditionalFormatting>
  <conditionalFormatting sqref="F18:G18">
    <cfRule type="containsBlanks" dxfId="86" priority="2">
      <formula>LEN(TRIM(F18))=0</formula>
    </cfRule>
  </conditionalFormatting>
  <conditionalFormatting sqref="B18:C18">
    <cfRule type="containsBlanks" dxfId="85" priority="1">
      <formula>LEN(TRIM(B18))=0</formula>
    </cfRule>
  </conditionalFormatting>
  <dataValidations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topLeftCell="B1" zoomScale="70" zoomScaleNormal="70" zoomScaleSheetLayoutView="55" workbookViewId="0">
      <pane ySplit="13" topLeftCell="A14" activePane="bottomLeft" state="frozen"/>
      <selection pane="bottomLeft" activeCell="C14" sqref="C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39">
        <v>0</v>
      </c>
      <c r="H13" s="40">
        <f t="shared" ref="H13:H14" si="2">IF(I13="Error",0,ROUND(G13,2))</f>
        <v>0</v>
      </c>
      <c r="I13" s="37" t="str">
        <f t="shared" ref="I13:I14" si="3">IF(OR(COUNTIF(WorkPackage,B13)=0,COUNTIF(PartnerN°,C13)=0,D13="",COUNTIF(CountryALL,E13)=0,F13="",ISNUMBER(G13)=FALSE,IF(ISNUMBER(G13)=TRUE,G13=INT(G13*100)/100=FALSE)),"Error","")</f>
        <v>Error</v>
      </c>
    </row>
    <row r="14" spans="2:9" s="38" customFormat="1" x14ac:dyDescent="0.3">
      <c r="B14" s="18"/>
      <c r="C14" s="23"/>
      <c r="D14" s="46" t="str">
        <f t="shared" si="0"/>
        <v/>
      </c>
      <c r="E14" s="46" t="str">
        <f t="shared" si="1"/>
        <v/>
      </c>
      <c r="F14" s="22"/>
      <c r="G14" s="39"/>
      <c r="H14" s="40">
        <f t="shared" si="2"/>
        <v>0</v>
      </c>
      <c r="I14" s="37" t="str">
        <f t="shared" si="3"/>
        <v>Error</v>
      </c>
    </row>
  </sheetData>
  <sheetProtection algorithmName="SHA-512" hashValue="RkNQpAUr8p/ozKdddmJfji9GfNvGQ8AWDmb87ftLJ43fH2qhaMDqK6ItIvV/CGgXZvygH3apo1zjtxxGWVeSLw==" saltValue="mvKqmG5NyUDw4KecezvGjg=="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78" priority="264" operator="containsText" text="Error">
      <formula>NOT(ISERROR(SEARCH("Error",I13)))</formula>
    </cfRule>
  </conditionalFormatting>
  <conditionalFormatting sqref="D13:E14">
    <cfRule type="containsBlanks" dxfId="77" priority="258">
      <formula>LEN(TRIM(D13))=0</formula>
    </cfRule>
  </conditionalFormatting>
  <conditionalFormatting sqref="G13">
    <cfRule type="cellIs" dxfId="76" priority="83" operator="lessThanOrEqual">
      <formula>0</formula>
    </cfRule>
  </conditionalFormatting>
  <conditionalFormatting sqref="F13:G13">
    <cfRule type="containsBlanks" dxfId="75" priority="80">
      <formula>LEN(TRIM(F13))=0</formula>
    </cfRule>
  </conditionalFormatting>
  <conditionalFormatting sqref="G14">
    <cfRule type="cellIs" dxfId="74" priority="79" operator="lessThanOrEqual">
      <formula>0</formula>
    </cfRule>
  </conditionalFormatting>
  <conditionalFormatting sqref="F14:G14">
    <cfRule type="containsBlanks" dxfId="73" priority="78">
      <formula>LEN(TRIM(F14))=0</formula>
    </cfRule>
  </conditionalFormatting>
  <conditionalFormatting sqref="B13:C13">
    <cfRule type="containsBlanks" dxfId="72" priority="77">
      <formula>LEN(TRIM(B13))=0</formula>
    </cfRule>
  </conditionalFormatting>
  <conditionalFormatting sqref="B14:C14">
    <cfRule type="containsBlanks" dxfId="71" priority="76">
      <formula>LEN(TRIM(B14))=0</formula>
    </cfRule>
  </conditionalFormatting>
  <dataValidations xWindow="240" yWindow="570"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5"/>
  <sheetViews>
    <sheetView showGridLines="0" zoomScale="70" zoomScaleNormal="70" zoomScaleSheetLayoutView="55" workbookViewId="0">
      <pane ySplit="13" topLeftCell="A14" activePane="bottomLeft" state="frozen"/>
      <selection pane="bottomLeft" activeCell="G14" sqref="G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133000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 t="shared" ref="C13:C21" si="0">IFERROR(IF(VLOOKUP(B13,PartnerN°Ref,2,FALSE)=0,"",VLOOKUP(B13,PartnerN°Ref,2,FALSE)),"")</f>
        <v/>
      </c>
      <c r="D13" s="46" t="str">
        <f t="shared" ref="D13:D21" si="1">IFERROR(IF(OR(VLOOKUP(B13,PartnerN°Ref,4,FALSE)="Country not found",VLOOKUP(B13,PartnerN°Ref,3,FALSE)=0),"",VLOOKUP(B13,PartnerN°Ref,3,FALSE)),"")</f>
        <v/>
      </c>
      <c r="E13" s="22"/>
      <c r="F13" s="22"/>
      <c r="G13" s="22"/>
      <c r="H13" s="39">
        <v>0</v>
      </c>
      <c r="I13" s="40">
        <f t="shared" ref="I13:I21" si="2">IF(J13="Error",0,ROUND(H13,2))</f>
        <v>0</v>
      </c>
      <c r="J13" s="37" t="str">
        <f t="shared" ref="J13:J21" si="3">IF(OR(COUNTIF(PartnerN°,B13)=0,C13="",COUNTIF(CountryALL,D13)=0,E13="",F13="",G13="",ISNUMBER(H13)=FALSE,IF(ISNUMBER(H13)=TRUE,H13=INT(H13*100)/100=FALSE)),"Error","")</f>
        <v>Error</v>
      </c>
    </row>
    <row r="14" spans="2:10" s="38" customFormat="1" ht="36" x14ac:dyDescent="0.3">
      <c r="B14" s="23" t="s">
        <v>8</v>
      </c>
      <c r="C14" s="46" t="str">
        <f t="shared" si="0"/>
        <v>DUNP</v>
      </c>
      <c r="D14" s="46" t="str">
        <f t="shared" si="1"/>
        <v>Serbia</v>
      </c>
      <c r="E14" s="22" t="s">
        <v>387</v>
      </c>
      <c r="F14" s="22" t="s">
        <v>388</v>
      </c>
      <c r="G14" s="22" t="s">
        <v>389</v>
      </c>
      <c r="H14" s="39">
        <v>10000</v>
      </c>
      <c r="I14" s="40">
        <f t="shared" si="2"/>
        <v>10000</v>
      </c>
      <c r="J14" s="37" t="str">
        <f t="shared" si="3"/>
        <v/>
      </c>
    </row>
    <row r="15" spans="2:10" s="38" customFormat="1" ht="54" x14ac:dyDescent="0.3">
      <c r="B15" s="23" t="s">
        <v>9</v>
      </c>
      <c r="C15" s="46" t="str">
        <f t="shared" si="0"/>
        <v>UNS</v>
      </c>
      <c r="D15" s="46" t="str">
        <f t="shared" si="1"/>
        <v>Serbia</v>
      </c>
      <c r="E15" s="22" t="s">
        <v>381</v>
      </c>
      <c r="F15" s="22" t="s">
        <v>382</v>
      </c>
      <c r="G15" s="22" t="s">
        <v>383</v>
      </c>
      <c r="H15" s="39">
        <v>15000</v>
      </c>
      <c r="I15" s="40">
        <f t="shared" si="2"/>
        <v>15000</v>
      </c>
      <c r="J15" s="37" t="str">
        <f t="shared" si="3"/>
        <v/>
      </c>
    </row>
    <row r="16" spans="2:10" s="38" customFormat="1" ht="36" x14ac:dyDescent="0.3">
      <c r="B16" s="23" t="s">
        <v>10</v>
      </c>
      <c r="C16" s="46" t="str">
        <f t="shared" si="0"/>
        <v>UNI</v>
      </c>
      <c r="D16" s="46" t="str">
        <f t="shared" si="1"/>
        <v>Serbia</v>
      </c>
      <c r="E16" s="22" t="s">
        <v>384</v>
      </c>
      <c r="F16" s="22" t="s">
        <v>385</v>
      </c>
      <c r="G16" s="22" t="s">
        <v>386</v>
      </c>
      <c r="H16" s="39">
        <v>10500</v>
      </c>
      <c r="I16" s="40">
        <f t="shared" si="2"/>
        <v>10500</v>
      </c>
      <c r="J16" s="37" t="str">
        <f t="shared" si="3"/>
        <v/>
      </c>
    </row>
    <row r="17" spans="2:10" s="38" customFormat="1" ht="36" x14ac:dyDescent="0.3">
      <c r="B17" s="23" t="s">
        <v>14</v>
      </c>
      <c r="C17" s="46" t="str">
        <f t="shared" si="0"/>
        <v>Tsinghua University</v>
      </c>
      <c r="D17" s="46" t="str">
        <f t="shared" si="1"/>
        <v>China</v>
      </c>
      <c r="E17" s="22" t="s">
        <v>390</v>
      </c>
      <c r="F17" s="22" t="s">
        <v>391</v>
      </c>
      <c r="G17" s="22" t="s">
        <v>392</v>
      </c>
      <c r="H17" s="39">
        <v>15000</v>
      </c>
      <c r="I17" s="40">
        <f t="shared" si="2"/>
        <v>15000</v>
      </c>
      <c r="J17" s="37" t="str">
        <f t="shared" si="3"/>
        <v/>
      </c>
    </row>
    <row r="18" spans="2:10" s="38" customFormat="1" ht="36" x14ac:dyDescent="0.3">
      <c r="B18" s="23" t="s">
        <v>12</v>
      </c>
      <c r="C18" s="46" t="str">
        <f t="shared" si="0"/>
        <v>KU Leuven</v>
      </c>
      <c r="D18" s="46" t="str">
        <f t="shared" si="1"/>
        <v>Belgium</v>
      </c>
      <c r="E18" s="22" t="s">
        <v>393</v>
      </c>
      <c r="F18" s="22" t="s">
        <v>394</v>
      </c>
      <c r="G18" s="22" t="s">
        <v>395</v>
      </c>
      <c r="H18" s="39">
        <v>17500</v>
      </c>
      <c r="I18" s="40">
        <f t="shared" si="2"/>
        <v>17500</v>
      </c>
      <c r="J18" s="37" t="str">
        <f t="shared" si="3"/>
        <v/>
      </c>
    </row>
    <row r="19" spans="2:10" s="38" customFormat="1" ht="36" x14ac:dyDescent="0.3">
      <c r="B19" s="23" t="s">
        <v>11</v>
      </c>
      <c r="C19" s="46" t="str">
        <f t="shared" si="0"/>
        <v>University of Cape Town</v>
      </c>
      <c r="D19" s="46" t="str">
        <f t="shared" si="1"/>
        <v>South Africa</v>
      </c>
      <c r="E19" s="22" t="s">
        <v>396</v>
      </c>
      <c r="F19" s="22" t="s">
        <v>397</v>
      </c>
      <c r="G19" s="22" t="s">
        <v>398</v>
      </c>
      <c r="H19" s="39">
        <v>20000</v>
      </c>
      <c r="I19" s="40">
        <f t="shared" si="2"/>
        <v>20000</v>
      </c>
      <c r="J19" s="37" t="str">
        <f t="shared" si="3"/>
        <v/>
      </c>
    </row>
    <row r="20" spans="2:10" s="38" customFormat="1" ht="36" x14ac:dyDescent="0.3">
      <c r="B20" s="23" t="s">
        <v>13</v>
      </c>
      <c r="C20" s="46" t="str">
        <f t="shared" si="0"/>
        <v>IIT Bombay</v>
      </c>
      <c r="D20" s="46" t="str">
        <f t="shared" si="1"/>
        <v>India</v>
      </c>
      <c r="E20" s="22" t="s">
        <v>399</v>
      </c>
      <c r="F20" s="22" t="s">
        <v>400</v>
      </c>
      <c r="G20" s="22" t="s">
        <v>401</v>
      </c>
      <c r="H20" s="39">
        <v>15000</v>
      </c>
      <c r="I20" s="40">
        <f t="shared" si="2"/>
        <v>15000</v>
      </c>
      <c r="J20" s="37" t="str">
        <f t="shared" si="3"/>
        <v/>
      </c>
    </row>
    <row r="21" spans="2:10" s="38" customFormat="1" ht="36" x14ac:dyDescent="0.3">
      <c r="B21" s="23" t="s">
        <v>15</v>
      </c>
      <c r="C21" s="46" t="str">
        <f t="shared" si="0"/>
        <v>TUM</v>
      </c>
      <c r="D21" s="46" t="str">
        <f t="shared" si="1"/>
        <v>Denmark</v>
      </c>
      <c r="E21" s="22" t="s">
        <v>402</v>
      </c>
      <c r="F21" s="22" t="s">
        <v>403</v>
      </c>
      <c r="G21" s="22" t="s">
        <v>404</v>
      </c>
      <c r="H21" s="39">
        <v>30000</v>
      </c>
      <c r="I21" s="40">
        <f t="shared" si="2"/>
        <v>30000</v>
      </c>
      <c r="J21" s="37" t="str">
        <f t="shared" si="3"/>
        <v/>
      </c>
    </row>
    <row r="23" spans="2:10" x14ac:dyDescent="0.35">
      <c r="B23" s="43" t="s">
        <v>219</v>
      </c>
    </row>
    <row r="24" spans="2:10" x14ac:dyDescent="0.35">
      <c r="B24" s="43" t="s">
        <v>220</v>
      </c>
    </row>
    <row r="25" spans="2:10" x14ac:dyDescent="0.35">
      <c r="B25" s="43" t="s">
        <v>221</v>
      </c>
    </row>
  </sheetData>
  <sheetProtection algorithmName="SHA-512" hashValue="Qs2o8bIwp6lOcBcN+HE7hzvlszyJ0CQk20Qb/J9HYmNe2194qmffKQxceqJ5y8Ri0ICHhTFdk5zC/4XXX6FPvQ==" saltValue="ax4Jk3U0fMkmtzzUUDeXOA=="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70" priority="209" operator="containsText" text="Error">
      <formula>NOT(ISERROR(SEARCH("Error",J13)))</formula>
    </cfRule>
  </conditionalFormatting>
  <conditionalFormatting sqref="C13:D14">
    <cfRule type="containsBlanks" dxfId="69" priority="202">
      <formula>LEN(TRIM(C13))=0</formula>
    </cfRule>
  </conditionalFormatting>
  <conditionalFormatting sqref="H13">
    <cfRule type="cellIs" dxfId="68" priority="73" operator="lessThanOrEqual">
      <formula>0</formula>
    </cfRule>
  </conditionalFormatting>
  <conditionalFormatting sqref="E13:H13">
    <cfRule type="containsBlanks" dxfId="67" priority="70">
      <formula>LEN(TRIM(E13))=0</formula>
    </cfRule>
  </conditionalFormatting>
  <conditionalFormatting sqref="H14">
    <cfRule type="cellIs" dxfId="66" priority="69" operator="lessThanOrEqual">
      <formula>0</formula>
    </cfRule>
  </conditionalFormatting>
  <conditionalFormatting sqref="E14:H14">
    <cfRule type="containsBlanks" dxfId="65" priority="68">
      <formula>LEN(TRIM(E14))=0</formula>
    </cfRule>
  </conditionalFormatting>
  <conditionalFormatting sqref="B13">
    <cfRule type="containsBlanks" dxfId="64" priority="67">
      <formula>LEN(TRIM(B13))=0</formula>
    </cfRule>
  </conditionalFormatting>
  <conditionalFormatting sqref="B14">
    <cfRule type="containsBlanks" dxfId="63" priority="66">
      <formula>LEN(TRIM(B14))=0</formula>
    </cfRule>
  </conditionalFormatting>
  <conditionalFormatting sqref="J15">
    <cfRule type="containsText" dxfId="62" priority="40" operator="containsText" text="Error">
      <formula>NOT(ISERROR(SEARCH("Error",J15)))</formula>
    </cfRule>
  </conditionalFormatting>
  <conditionalFormatting sqref="C15:D15">
    <cfRule type="containsBlanks" dxfId="61" priority="39">
      <formula>LEN(TRIM(C15))=0</formula>
    </cfRule>
  </conditionalFormatting>
  <conditionalFormatting sqref="H15">
    <cfRule type="cellIs" dxfId="60" priority="38" operator="lessThanOrEqual">
      <formula>0</formula>
    </cfRule>
  </conditionalFormatting>
  <conditionalFormatting sqref="E15:H15">
    <cfRule type="containsBlanks" dxfId="59" priority="37">
      <formula>LEN(TRIM(E15))=0</formula>
    </cfRule>
  </conditionalFormatting>
  <conditionalFormatting sqref="B15">
    <cfRule type="containsBlanks" dxfId="58" priority="36">
      <formula>LEN(TRIM(B15))=0</formula>
    </cfRule>
  </conditionalFormatting>
  <conditionalFormatting sqref="J16">
    <cfRule type="containsText" dxfId="57" priority="35" operator="containsText" text="Error">
      <formula>NOT(ISERROR(SEARCH("Error",J16)))</formula>
    </cfRule>
  </conditionalFormatting>
  <conditionalFormatting sqref="C16:D16">
    <cfRule type="containsBlanks" dxfId="56" priority="34">
      <formula>LEN(TRIM(C16))=0</formula>
    </cfRule>
  </conditionalFormatting>
  <conditionalFormatting sqref="H16">
    <cfRule type="cellIs" dxfId="55" priority="33" operator="lessThanOrEqual">
      <formula>0</formula>
    </cfRule>
  </conditionalFormatting>
  <conditionalFormatting sqref="E16:H16">
    <cfRule type="containsBlanks" dxfId="54" priority="32">
      <formula>LEN(TRIM(E16))=0</formula>
    </cfRule>
  </conditionalFormatting>
  <conditionalFormatting sqref="B16">
    <cfRule type="containsBlanks" dxfId="53" priority="31">
      <formula>LEN(TRIM(B16))=0</formula>
    </cfRule>
  </conditionalFormatting>
  <conditionalFormatting sqref="J17">
    <cfRule type="containsText" dxfId="52" priority="25" operator="containsText" text="Error">
      <formula>NOT(ISERROR(SEARCH("Error",J17)))</formula>
    </cfRule>
  </conditionalFormatting>
  <conditionalFormatting sqref="C17:D17">
    <cfRule type="containsBlanks" dxfId="51" priority="24">
      <formula>LEN(TRIM(C17))=0</formula>
    </cfRule>
  </conditionalFormatting>
  <conditionalFormatting sqref="H17">
    <cfRule type="cellIs" dxfId="50" priority="23" operator="lessThanOrEqual">
      <formula>0</formula>
    </cfRule>
  </conditionalFormatting>
  <conditionalFormatting sqref="E17:H17">
    <cfRule type="containsBlanks" dxfId="49" priority="22">
      <formula>LEN(TRIM(E17))=0</formula>
    </cfRule>
  </conditionalFormatting>
  <conditionalFormatting sqref="B17">
    <cfRule type="containsBlanks" dxfId="48" priority="21">
      <formula>LEN(TRIM(B17))=0</formula>
    </cfRule>
  </conditionalFormatting>
  <conditionalFormatting sqref="J18">
    <cfRule type="containsText" dxfId="47" priority="20" operator="containsText" text="Error">
      <formula>NOT(ISERROR(SEARCH("Error",J18)))</formula>
    </cfRule>
  </conditionalFormatting>
  <conditionalFormatting sqref="C18:D18">
    <cfRule type="containsBlanks" dxfId="46" priority="19">
      <formula>LEN(TRIM(C18))=0</formula>
    </cfRule>
  </conditionalFormatting>
  <conditionalFormatting sqref="H18">
    <cfRule type="cellIs" dxfId="45" priority="18" operator="lessThanOrEqual">
      <formula>0</formula>
    </cfRule>
  </conditionalFormatting>
  <conditionalFormatting sqref="E18:H18">
    <cfRule type="containsBlanks" dxfId="44" priority="17">
      <formula>LEN(TRIM(E18))=0</formula>
    </cfRule>
  </conditionalFormatting>
  <conditionalFormatting sqref="B18">
    <cfRule type="containsBlanks" dxfId="43" priority="16">
      <formula>LEN(TRIM(B18))=0</formula>
    </cfRule>
  </conditionalFormatting>
  <conditionalFormatting sqref="J19">
    <cfRule type="containsText" dxfId="42" priority="15" operator="containsText" text="Error">
      <formula>NOT(ISERROR(SEARCH("Error",J19)))</formula>
    </cfRule>
  </conditionalFormatting>
  <conditionalFormatting sqref="C19:D19">
    <cfRule type="containsBlanks" dxfId="41" priority="14">
      <formula>LEN(TRIM(C19))=0</formula>
    </cfRule>
  </conditionalFormatting>
  <conditionalFormatting sqref="H19">
    <cfRule type="cellIs" dxfId="40" priority="13" operator="lessThanOrEqual">
      <formula>0</formula>
    </cfRule>
  </conditionalFormatting>
  <conditionalFormatting sqref="E19:H19">
    <cfRule type="containsBlanks" dxfId="39" priority="12">
      <formula>LEN(TRIM(E19))=0</formula>
    </cfRule>
  </conditionalFormatting>
  <conditionalFormatting sqref="B19">
    <cfRule type="containsBlanks" dxfId="38" priority="11">
      <formula>LEN(TRIM(B19))=0</formula>
    </cfRule>
  </conditionalFormatting>
  <conditionalFormatting sqref="J20">
    <cfRule type="containsText" dxfId="37" priority="10" operator="containsText" text="Error">
      <formula>NOT(ISERROR(SEARCH("Error",J20)))</formula>
    </cfRule>
  </conditionalFormatting>
  <conditionalFormatting sqref="C20:D20">
    <cfRule type="containsBlanks" dxfId="36" priority="9">
      <formula>LEN(TRIM(C20))=0</formula>
    </cfRule>
  </conditionalFormatting>
  <conditionalFormatting sqref="H20">
    <cfRule type="cellIs" dxfId="35" priority="8" operator="lessThanOrEqual">
      <formula>0</formula>
    </cfRule>
  </conditionalFormatting>
  <conditionalFormatting sqref="E20:H20">
    <cfRule type="containsBlanks" dxfId="34" priority="7">
      <formula>LEN(TRIM(E20))=0</formula>
    </cfRule>
  </conditionalFormatting>
  <conditionalFormatting sqref="B20">
    <cfRule type="containsBlanks" dxfId="33" priority="6">
      <formula>LEN(TRIM(B20))=0</formula>
    </cfRule>
  </conditionalFormatting>
  <conditionalFormatting sqref="J21">
    <cfRule type="containsText" dxfId="32" priority="5" operator="containsText" text="Error">
      <formula>NOT(ISERROR(SEARCH("Error",J21)))</formula>
    </cfRule>
  </conditionalFormatting>
  <conditionalFormatting sqref="C21:D21">
    <cfRule type="containsBlanks" dxfId="31" priority="4">
      <formula>LEN(TRIM(C21))=0</formula>
    </cfRule>
  </conditionalFormatting>
  <conditionalFormatting sqref="H21">
    <cfRule type="cellIs" dxfId="30" priority="3" operator="lessThanOrEqual">
      <formula>0</formula>
    </cfRule>
  </conditionalFormatting>
  <conditionalFormatting sqref="E21:H21">
    <cfRule type="containsBlanks" dxfId="29" priority="2">
      <formula>LEN(TRIM(E21))=0</formula>
    </cfRule>
  </conditionalFormatting>
  <conditionalFormatting sqref="B21">
    <cfRule type="containsBlanks" dxfId="28" priority="1">
      <formula>LEN(TRIM(B21))=0</formula>
    </cfRule>
  </conditionalFormatting>
  <dataValidations xWindow="1061" yWindow="557" count="5">
    <dataValidation allowBlank="1" showInputMessage="1" showErrorMessage="1" error="Please encode Item" prompt="Please encode Item" sqref="E13:E21" xr:uid="{00000000-0002-0000-0600-000000000000}"/>
    <dataValidation type="custom" allowBlank="1" showInputMessage="1" showErrorMessage="1" error="Format error (2 decimals only)" prompt="Please encode amount (2 decimals only)" sqref="H13:H21" xr:uid="{00000000-0002-0000-0600-000001000000}">
      <formula1>H13=INT(H13*100)/100</formula1>
    </dataValidation>
    <dataValidation allowBlank="1" showInputMessage="1" showErrorMessage="1" error="Please encode Justification" prompt="Please encode Justification" sqref="G13:G21" xr:uid="{00000000-0002-0000-0600-000002000000}"/>
    <dataValidation allowBlank="1" showInputMessage="1" showErrorMessage="1" error="Please encode Source of Co-financing" prompt="Please encode Source of Co-financing" sqref="F13:F21" xr:uid="{00000000-0002-0000-0600-000003000000}"/>
    <dataValidation type="list" allowBlank="1" showInputMessage="1" showErrorMessage="1" error="Click arrow to select Partner n°" prompt="Click arrow to select Partner n°" sqref="B13:B21"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44263</v>
      </c>
      <c r="D5" s="25">
        <f>SUMIF(' 2-3-6. Travel&amp;Costs of Stay'!B:B,B5,' 2-3-6. Travel&amp;Costs of Stay'!O:O)</f>
        <v>84800</v>
      </c>
      <c r="E5" s="26">
        <f>SUMIF(' 2-3-6. Travel&amp;Costs of Stay'!B:B,B5,' 2-3-6. Travel&amp;Costs of Stay'!P:P)</f>
        <v>168000</v>
      </c>
      <c r="F5" s="26">
        <f>SUMIF('4. Equipment Costs'!B:B,B5,'4. Equipment Costs'!H:H)</f>
        <v>19500</v>
      </c>
      <c r="G5" s="26">
        <f>SUMIF('5. Subcontracting Costs'!B:B,B5,'5. Subcontracting Costs'!H:H)</f>
        <v>0</v>
      </c>
      <c r="H5" s="26">
        <f>SUMIF(' 2-3-6. Travel&amp;Costs of Stay'!B:B,B5,' 2-3-6. Travel&amp;Costs of Stay'!N:N)</f>
        <v>0</v>
      </c>
      <c r="I5" s="27">
        <f t="shared" ref="I5:I10" si="0">SUM(C5:H5)</f>
        <v>316563</v>
      </c>
    </row>
    <row r="6" spans="2:9" ht="16.5" customHeight="1" x14ac:dyDescent="0.35">
      <c r="B6" s="83" t="str">
        <f>'Unit Costs &amp; Funding Rule'!P11</f>
        <v>Development</v>
      </c>
      <c r="C6" s="25">
        <f>SUMIF('1. Staff costs'!B:B,B6,'1. Staff costs'!S:S)</f>
        <v>79138</v>
      </c>
      <c r="D6" s="25">
        <f>SUMIF(' 2-3-6. Travel&amp;Costs of Stay'!B:B,B6,' 2-3-6. Travel&amp;Costs of Stay'!O:O)</f>
        <v>94205</v>
      </c>
      <c r="E6" s="26">
        <f>SUMIF(' 2-3-6. Travel&amp;Costs of Stay'!B:B,B6,' 2-3-6. Travel&amp;Costs of Stay'!P:P)</f>
        <v>117360</v>
      </c>
      <c r="F6" s="26">
        <f>SUMIF('4. Equipment Costs'!B:B,B6,'4. Equipment Costs'!H:H)</f>
        <v>125000</v>
      </c>
      <c r="G6" s="26">
        <f>SUMIF('5. Subcontracting Costs'!B:B,B6,'5. Subcontracting Costs'!H:H)</f>
        <v>0</v>
      </c>
      <c r="H6" s="26">
        <f>SUMIF(' 2-3-6. Travel&amp;Costs of Stay'!B:B,B6,' 2-3-6. Travel&amp;Costs of Stay'!N:N)</f>
        <v>0</v>
      </c>
      <c r="I6" s="27">
        <f t="shared" si="0"/>
        <v>415703</v>
      </c>
    </row>
    <row r="7" spans="2:9" ht="16.5" customHeight="1" x14ac:dyDescent="0.35">
      <c r="B7" s="83" t="str">
        <f>'Unit Costs &amp; Funding Rule'!P12</f>
        <v>Quality Plan</v>
      </c>
      <c r="C7" s="25">
        <f>SUMIF('1. Staff costs'!B:B,B7,'1. Staff costs'!S:S)</f>
        <v>93510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93510</v>
      </c>
    </row>
    <row r="8" spans="2:9" ht="16.5" customHeight="1" x14ac:dyDescent="0.35">
      <c r="B8" s="83" t="str">
        <f>'Unit Costs &amp; Funding Rule'!P13</f>
        <v>Dissemination &amp; Exploitation</v>
      </c>
      <c r="C8" s="25">
        <f>SUMIF('1. Staff costs'!B:B,B8,'1. Staff costs'!S:S)</f>
        <v>7310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7310</v>
      </c>
    </row>
    <row r="9" spans="2:9" ht="16.5" customHeight="1" x14ac:dyDescent="0.35">
      <c r="B9" s="83" t="str">
        <f>'Unit Costs &amp; Funding Rule'!P14</f>
        <v>Management</v>
      </c>
      <c r="C9" s="25">
        <f>SUMIF('1. Staff costs'!B:B,B9,'1. Staff costs'!S:S)</f>
        <v>8970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8970</v>
      </c>
    </row>
    <row r="10" spans="2:9" x14ac:dyDescent="0.35">
      <c r="B10" s="47" t="s">
        <v>1</v>
      </c>
      <c r="C10" s="27">
        <f t="shared" ref="C10:F10" si="1">SUM(C5:C9)</f>
        <v>233191</v>
      </c>
      <c r="D10" s="27">
        <f t="shared" si="1"/>
        <v>179005</v>
      </c>
      <c r="E10" s="27">
        <f t="shared" si="1"/>
        <v>285360</v>
      </c>
      <c r="F10" s="27">
        <f t="shared" si="1"/>
        <v>144500</v>
      </c>
      <c r="G10" s="27">
        <f>SUM(G5:G9)</f>
        <v>0</v>
      </c>
      <c r="H10" s="27">
        <f>SUM(H5:H9)</f>
        <v>0</v>
      </c>
      <c r="I10" s="21">
        <f t="shared" si="0"/>
        <v>842056</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210471</v>
      </c>
      <c r="D15" s="25">
        <f>SUMIF(Overview!$E$27:$E$81,B15,Overview!$G$27:$G$81)</f>
        <v>105825</v>
      </c>
      <c r="E15" s="25">
        <f>SUMIF(Overview!$E$27:$E$81,B15,Overview!$H$27:$H$81)</f>
        <v>234240</v>
      </c>
      <c r="F15" s="25">
        <f>SUMIF(Overview!$E$27:$E$81,B15,Overview!$I$27:$I$81)</f>
        <v>0</v>
      </c>
      <c r="G15" s="25">
        <f>SUMIF(Overview!$E$27:$E$81,B15,Overview!$J$27:$J$81)</f>
        <v>0</v>
      </c>
      <c r="H15" s="25">
        <f>SUMIF(Overview!$E$27:$E$81,B15,Overview!$K$27:$K$81)</f>
        <v>0</v>
      </c>
      <c r="I15" s="27">
        <f>SUM(C15:H15)</f>
        <v>550536</v>
      </c>
    </row>
    <row r="16" spans="2:9" x14ac:dyDescent="0.35">
      <c r="B16" s="83" t="s">
        <v>197</v>
      </c>
      <c r="C16" s="25">
        <f>SUMIF(Overview!$E$27:$E$81,B16,Overview!$F$27:$F$81)</f>
        <v>22720</v>
      </c>
      <c r="D16" s="25">
        <f>SUMIF(Overview!$E$27:$E$81,B16,Overview!$G$27:$G$81)</f>
        <v>73180</v>
      </c>
      <c r="E16" s="25">
        <f>SUMIF(Overview!$E$27:$E$81,B16,Overview!$H$27:$H$81)</f>
        <v>51120</v>
      </c>
      <c r="F16" s="25">
        <f>SUMIF(Overview!$E$27:$E$81,B16,Overview!$I$27:$I$81)</f>
        <v>144500</v>
      </c>
      <c r="G16" s="25">
        <f>SUMIF(Overview!$E$27:$E$81,B16,Overview!$J$27:$J$81)</f>
        <v>0</v>
      </c>
      <c r="H16" s="25">
        <f>SUMIF(Overview!$E$27:$E$81,B16,Overview!$K$27:$K$81)</f>
        <v>0</v>
      </c>
      <c r="I16" s="27">
        <f>SUM(C16:H16)</f>
        <v>291520</v>
      </c>
    </row>
    <row r="17" spans="2:9" x14ac:dyDescent="0.35">
      <c r="B17" s="47" t="s">
        <v>1</v>
      </c>
      <c r="C17" s="27">
        <f t="shared" ref="C17:F17" si="2">SUM(C15:C16)</f>
        <v>233191</v>
      </c>
      <c r="D17" s="27">
        <f t="shared" si="2"/>
        <v>179005</v>
      </c>
      <c r="E17" s="27">
        <f t="shared" si="2"/>
        <v>285360</v>
      </c>
      <c r="F17" s="27">
        <f t="shared" si="2"/>
        <v>144500</v>
      </c>
      <c r="G17" s="27">
        <f>SUM(G15:G16)</f>
        <v>0</v>
      </c>
      <c r="H17" s="27">
        <f>SUM(H15:H16)</f>
        <v>0</v>
      </c>
      <c r="I17" s="21">
        <f>SUM(C17:H17)</f>
        <v>842056</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215274</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28857</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330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05">
        <f t="shared" ref="H22:H34" si="3">SUM(C22:G22)</f>
        <v>254141</v>
      </c>
      <c r="I22" s="206"/>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32006</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39661</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330</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05">
        <f t="shared" si="3"/>
        <v>81677</v>
      </c>
      <c r="I23" s="206"/>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32006</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40561</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6650</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1760</v>
      </c>
      <c r="H24" s="205">
        <f t="shared" si="3"/>
        <v>88897</v>
      </c>
      <c r="I24" s="206"/>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10000</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94833</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6930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320</v>
      </c>
      <c r="H25" s="205">
        <f t="shared" si="3"/>
        <v>112083</v>
      </c>
      <c r="I25" s="206"/>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7914</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28641</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25200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1310</v>
      </c>
      <c r="H26" s="205">
        <f t="shared" si="3"/>
        <v>63065</v>
      </c>
      <c r="I26" s="206"/>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10761</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69073</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4230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170</v>
      </c>
      <c r="H27" s="205">
        <f t="shared" si="3"/>
        <v>84234</v>
      </c>
      <c r="I27" s="206"/>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87953</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6930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320</v>
      </c>
      <c r="H28" s="205">
        <f t="shared" si="3"/>
        <v>95203</v>
      </c>
      <c r="I28" s="206"/>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8602</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26124</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26460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1570</v>
      </c>
      <c r="H29" s="205">
        <f t="shared" si="3"/>
        <v>62756</v>
      </c>
      <c r="I29" s="206"/>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05">
        <f t="shared" si="3"/>
        <v>0</v>
      </c>
      <c r="I30" s="206"/>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05">
        <f t="shared" si="3"/>
        <v>0</v>
      </c>
      <c r="I31" s="206"/>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05">
        <f t="shared" si="3"/>
        <v>0</v>
      </c>
      <c r="I32" s="206"/>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05">
        <f t="shared" si="3"/>
        <v>0</v>
      </c>
      <c r="I34" s="206"/>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05">
        <f t="shared" si="4"/>
        <v>0</v>
      </c>
      <c r="I36" s="206"/>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05">
        <f t="shared" si="4"/>
        <v>0</v>
      </c>
      <c r="I37" s="206"/>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05">
        <f t="shared" si="4"/>
        <v>0</v>
      </c>
      <c r="I38" s="206"/>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05">
        <f t="shared" si="4"/>
        <v>0</v>
      </c>
      <c r="I39" s="206"/>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05">
        <f t="shared" si="4"/>
        <v>0</v>
      </c>
      <c r="I40" s="206"/>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05">
        <f t="shared" si="4"/>
        <v>0</v>
      </c>
      <c r="I76" s="206"/>
    </row>
    <row r="77" spans="2:9" x14ac:dyDescent="0.35">
      <c r="B77" s="52" t="s">
        <v>1</v>
      </c>
      <c r="C77" s="27">
        <f>SUM(C22:C76)</f>
        <v>316563</v>
      </c>
      <c r="D77" s="27">
        <f t="shared" ref="D77:G77" si="5">SUM(D22:D76)</f>
        <v>415703</v>
      </c>
      <c r="E77" s="27">
        <f t="shared" si="5"/>
        <v>93510</v>
      </c>
      <c r="F77" s="27">
        <f t="shared" si="5"/>
        <v>7310</v>
      </c>
      <c r="G77" s="27">
        <f t="shared" si="5"/>
        <v>8970</v>
      </c>
      <c r="H77" s="205">
        <f>SUM(C77:G77)</f>
        <v>842056</v>
      </c>
      <c r="I77" s="206"/>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27" priority="139" stopIfTrue="1" operator="equal">
      <formula>"&gt; 30 %"</formula>
    </cfRule>
  </conditionalFormatting>
  <conditionalFormatting sqref="C4:E4 D14:E14">
    <cfRule type="cellIs" dxfId="26" priority="52" stopIfTrue="1" operator="equal">
      <formula>"ERROR"</formula>
    </cfRule>
  </conditionalFormatting>
  <conditionalFormatting sqref="F4">
    <cfRule type="cellIs" dxfId="25" priority="50" stopIfTrue="1" operator="equal">
      <formula>"ERROR"</formula>
    </cfRule>
  </conditionalFormatting>
  <conditionalFormatting sqref="G4">
    <cfRule type="cellIs" dxfId="24" priority="49" stopIfTrue="1" operator="equal">
      <formula>"ERROR"</formula>
    </cfRule>
  </conditionalFormatting>
  <conditionalFormatting sqref="I4">
    <cfRule type="cellIs" dxfId="23" priority="48" stopIfTrue="1" operator="equal">
      <formula>"ERROR"</formula>
    </cfRule>
  </conditionalFormatting>
  <conditionalFormatting sqref="B12">
    <cfRule type="cellIs" dxfId="22" priority="33" stopIfTrue="1" operator="equal">
      <formula>"&gt; 30 %"</formula>
    </cfRule>
  </conditionalFormatting>
  <conditionalFormatting sqref="B10">
    <cfRule type="cellIs" dxfId="21" priority="29" stopIfTrue="1" operator="equal">
      <formula>"ERROR"</formula>
    </cfRule>
  </conditionalFormatting>
  <conditionalFormatting sqref="B17">
    <cfRule type="cellIs" dxfId="20" priority="28" stopIfTrue="1" operator="equal">
      <formula>"ERROR"</formula>
    </cfRule>
  </conditionalFormatting>
  <conditionalFormatting sqref="C14">
    <cfRule type="cellIs" dxfId="19" priority="19" stopIfTrue="1" operator="equal">
      <formula>"ERROR"</formula>
    </cfRule>
  </conditionalFormatting>
  <conditionalFormatting sqref="F14">
    <cfRule type="cellIs" dxfId="18" priority="17" stopIfTrue="1" operator="equal">
      <formula>"ERROR"</formula>
    </cfRule>
  </conditionalFormatting>
  <conditionalFormatting sqref="G14">
    <cfRule type="cellIs" dxfId="17" priority="16" stopIfTrue="1" operator="equal">
      <formula>"ERROR"</formula>
    </cfRule>
  </conditionalFormatting>
  <conditionalFormatting sqref="B19">
    <cfRule type="cellIs" dxfId="16" priority="14" stopIfTrue="1" operator="equal">
      <formula>"&gt; 30 %"</formula>
    </cfRule>
  </conditionalFormatting>
  <conditionalFormatting sqref="H21">
    <cfRule type="cellIs" dxfId="15" priority="11" stopIfTrue="1" operator="equal">
      <formula>"ERROR"</formula>
    </cfRule>
  </conditionalFormatting>
  <conditionalFormatting sqref="H4">
    <cfRule type="cellIs" dxfId="14" priority="3" stopIfTrue="1" operator="equal">
      <formula>"ERROR"</formula>
    </cfRule>
  </conditionalFormatting>
  <conditionalFormatting sqref="H14">
    <cfRule type="cellIs" dxfId="13" priority="2" stopIfTrue="1" operator="equal">
      <formula>"ERROR"</formula>
    </cfRule>
  </conditionalFormatting>
  <conditionalFormatting sqref="I14">
    <cfRule type="cellIs" dxfId="1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3"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Radni listovi</vt:lpstr>
      </vt:variant>
      <vt:variant>
        <vt:i4>9</vt:i4>
      </vt:variant>
      <vt:variant>
        <vt:lpstr>Imenovani opsezi</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 2-3-6. Travel&amp;Costs of Stay'!Naslovi_štampanja</vt:lpstr>
      <vt:lpstr>'4. Equipment Costs'!Naslovi_štampanja</vt:lpstr>
      <vt:lpstr>'5. Subcontracting Costs'!Naslovi_štampanja</vt:lpstr>
      <vt:lpstr>'Breakdown &amp; Project Funding'!Naslovi_štampanja</vt:lpstr>
      <vt:lpstr>'Co-financing'!Naslovi_štampanja</vt:lpstr>
      <vt:lpstr>' 2-3-6. Travel&amp;Costs of Stay'!Oblast_štampanja</vt:lpstr>
      <vt:lpstr>'1. Staff costs'!Oblast_štampanja</vt:lpstr>
      <vt:lpstr>'4. Equipment Costs'!Oblast_štampanja</vt:lpstr>
      <vt:lpstr>'5. Subcontracting Costs'!Oblast_štampanja</vt:lpstr>
      <vt:lpstr>'Breakdown &amp; Project Funding'!Oblast_štampanja</vt:lpstr>
      <vt:lpstr>'Co-financing'!Oblast_štampanja</vt:lpstr>
      <vt:lpstr>Overview!Oblast_štampanja</vt:lpstr>
      <vt:lpstr>'Sheet Validation'!Oblast_štampanja</vt:lpstr>
      <vt:lpstr>'Unit Costs &amp; Funding Rule'!Oblast_štampanja</vt:lpstr>
      <vt:lpstr>PartnerN°</vt:lpstr>
      <vt:lpstr>PartnerN°Ref</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2024-08-30T20:50:55Z</dcterms:modified>
</cp:coreProperties>
</file>